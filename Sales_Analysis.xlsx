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User\Excel\"/>
    </mc:Choice>
  </mc:AlternateContent>
  <bookViews>
    <workbookView xWindow="0" yWindow="0" windowWidth="20490" windowHeight="8445" activeTab="2"/>
  </bookViews>
  <sheets>
    <sheet name="Sales Data" sheetId="1" r:id="rId1"/>
    <sheet name="Pivot Tables" sheetId="2" r:id="rId2"/>
    <sheet name="Dashboard" sheetId="4" r:id="rId3"/>
  </sheets>
  <definedNames>
    <definedName name="Slicer_Product">#N/A</definedName>
    <definedName name="Slicer_Region">#N/A</definedName>
    <definedName name="Slicer_Sales_Person">#N/A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 i="1" l="1"/>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K2" i="1"/>
  <c r="N2" i="1"/>
  <c r="L2" i="1"/>
  <c r="I2" i="1"/>
</calcChain>
</file>

<file path=xl/sharedStrings.xml><?xml version="1.0" encoding="utf-8"?>
<sst xmlns="http://schemas.openxmlformats.org/spreadsheetml/2006/main" count="253" uniqueCount="44">
  <si>
    <t>Date</t>
  </si>
  <si>
    <t>Sales Person</t>
  </si>
  <si>
    <t>Region</t>
  </si>
  <si>
    <t>Product</t>
  </si>
  <si>
    <t>Units Sold</t>
  </si>
  <si>
    <t>Unit Price</t>
  </si>
  <si>
    <t>Cost of Goods</t>
  </si>
  <si>
    <t>Total Sales</t>
  </si>
  <si>
    <t>Andrew</t>
  </si>
  <si>
    <t>West</t>
  </si>
  <si>
    <t>Tent</t>
  </si>
  <si>
    <t>Rs. 6,000</t>
  </si>
  <si>
    <t>Rs. 4,000</t>
  </si>
  <si>
    <t>Grace</t>
  </si>
  <si>
    <t>East</t>
  </si>
  <si>
    <t>Blender</t>
  </si>
  <si>
    <t>Rs. 3,500</t>
  </si>
  <si>
    <t>Ella</t>
  </si>
  <si>
    <t>South</t>
  </si>
  <si>
    <t>Action Figure</t>
  </si>
  <si>
    <t>Rs. 1,200</t>
  </si>
  <si>
    <t>Cameron</t>
  </si>
  <si>
    <t>North</t>
  </si>
  <si>
    <t>Novel</t>
  </si>
  <si>
    <t>Rs. 1,000</t>
  </si>
  <si>
    <t>Megan</t>
  </si>
  <si>
    <t>Sneakers</t>
  </si>
  <si>
    <t>Carolyn</t>
  </si>
  <si>
    <t>Virginia</t>
  </si>
  <si>
    <t>Connor</t>
  </si>
  <si>
    <t>Anna</t>
  </si>
  <si>
    <t>Moisturizer</t>
  </si>
  <si>
    <t>Rs. 600</t>
  </si>
  <si>
    <t>Nicholas</t>
  </si>
  <si>
    <t>Smartphone</t>
  </si>
  <si>
    <t>Rs. 10,000</t>
  </si>
  <si>
    <t>Profit</t>
  </si>
  <si>
    <t>Grand Total</t>
  </si>
  <si>
    <t>Unit Sold</t>
  </si>
  <si>
    <t>Total Price</t>
  </si>
  <si>
    <t>Average Sales</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</si>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</sst>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quot;Rs.&quot;#,##0"/>
    <numFmt numFmtId="165" formatCode="&quot;Rs.&quot;##\,##,&quot;L&quot;"/>
    <numFmt numFmtId="166" formatCode="##\,##,&quot;L&quot;"/>
    <numFmt numFmtId="167" formatCode="_(* #,##0_);_(* \(#,##0\);_(* &quot;-&quot;??_);_(@_)"/>
  </numFmts>
  <fonts count="5" x14ac:knownFonts="1">
    <font>
      <sz val="11"/>
      <color theme="1"/>
      <name val="Calibri"/>
      <family val="2"/>
      <scheme val="minor"/>
    </font>
    <font>
      <sz val="11"/>
      <color rgb="FFFFFFFF"/>
      <name val="Arial"/>
      <family val="2"/>
    </font>
    <font>
      <sz val="11"/>
      <color rgb="FF000000"/>
      <name val="Arial"/>
      <family val="2"/>
    </font>
    <font>
      <sz val="11"/>
      <color theme="1"/>
      <name val="Calibri"/>
      <family val="2"/>
      <scheme val="minor"/>
    </font>
    <font>
      <sz val="11"/>
      <color theme="1"/>
      <name val="Arial"/>
      <family val="2"/>
    </font>
  </fonts>
  <fills count="4">
    <fill>
      <patternFill patternType="none"/>
    </fill>
    <fill>
      <patternFill patternType="gray125"/>
    </fill>
    <fill>
      <patternFill patternType="solid">
        <fgColor rgb="FF002060"/>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32">
    <xf numFmtId="0" fontId="0" fillId="0" borderId="0" xfId="0"/>
    <xf numFmtId="0" fontId="0" fillId="0" borderId="0" xfId="0" applyNumberFormat="1"/>
    <xf numFmtId="164" fontId="0" fillId="0" borderId="0" xfId="0" applyNumberFormat="1"/>
    <xf numFmtId="164" fontId="0" fillId="0" borderId="0" xfId="2" applyNumberFormat="1" applyFont="1"/>
    <xf numFmtId="164" fontId="1" fillId="2" borderId="1" xfId="0" applyNumberFormat="1" applyFont="1" applyFill="1" applyBorder="1" applyAlignment="1">
      <alignment horizontal="center" vertical="center" readingOrder="1"/>
    </xf>
    <xf numFmtId="0" fontId="0" fillId="0" borderId="1" xfId="0" applyBorder="1"/>
    <xf numFmtId="0" fontId="2" fillId="3" borderId="1" xfId="0" applyFont="1" applyFill="1" applyBorder="1" applyAlignment="1">
      <alignment horizontal="left" readingOrder="1"/>
    </xf>
    <xf numFmtId="0" fontId="2" fillId="3" borderId="1" xfId="0" applyNumberFormat="1" applyFont="1" applyFill="1" applyBorder="1" applyAlignment="1">
      <alignment horizontal="right" readingOrder="1"/>
    </xf>
    <xf numFmtId="164" fontId="2" fillId="3" borderId="1" xfId="0" applyNumberFormat="1" applyFont="1" applyFill="1" applyBorder="1" applyAlignment="1">
      <alignment horizontal="right" readingOrder="1"/>
    </xf>
    <xf numFmtId="164" fontId="2" fillId="3" borderId="1" xfId="2" applyNumberFormat="1" applyFont="1" applyFill="1" applyBorder="1" applyAlignment="1">
      <alignment horizontal="right" readingOrder="1"/>
    </xf>
    <xf numFmtId="164" fontId="0" fillId="0" borderId="1" xfId="0" applyNumberFormat="1" applyBorder="1"/>
    <xf numFmtId="14" fontId="2" fillId="3" borderId="2" xfId="0" applyNumberFormat="1" applyFont="1" applyFill="1" applyBorder="1" applyAlignment="1">
      <alignment horizontal="center" readingOrder="1"/>
    </xf>
    <xf numFmtId="164" fontId="4" fillId="0" borderId="3" xfId="0" applyNumberFormat="1" applyFont="1" applyBorder="1"/>
    <xf numFmtId="0" fontId="1" fillId="2" borderId="4" xfId="0" applyFont="1" applyFill="1" applyBorder="1" applyAlignment="1">
      <alignment horizontal="center" vertical="center" readingOrder="1"/>
    </xf>
    <xf numFmtId="0" fontId="1" fillId="2" borderId="5" xfId="0" applyFont="1" applyFill="1" applyBorder="1" applyAlignment="1">
      <alignment horizontal="center" vertical="center" readingOrder="1"/>
    </xf>
    <xf numFmtId="0" fontId="1" fillId="2" borderId="5" xfId="0" applyFont="1" applyFill="1" applyBorder="1" applyAlignment="1">
      <alignment horizontal="center" vertical="center"/>
    </xf>
    <xf numFmtId="0" fontId="1" fillId="2" borderId="5" xfId="0" applyNumberFormat="1" applyFont="1" applyFill="1" applyBorder="1" applyAlignment="1">
      <alignment horizontal="center" vertical="center" readingOrder="1"/>
    </xf>
    <xf numFmtId="164" fontId="1" fillId="2" borderId="5" xfId="0" applyNumberFormat="1" applyFont="1" applyFill="1" applyBorder="1" applyAlignment="1">
      <alignment horizontal="center" vertical="center" readingOrder="1"/>
    </xf>
    <xf numFmtId="164" fontId="1" fillId="2" borderId="5" xfId="2" applyNumberFormat="1" applyFont="1" applyFill="1" applyBorder="1" applyAlignment="1">
      <alignment horizontal="center" vertical="center" readingOrder="1"/>
    </xf>
    <xf numFmtId="164" fontId="1" fillId="2" borderId="6" xfId="0" applyNumberFormat="1" applyFont="1" applyFill="1" applyBorder="1" applyAlignment="1">
      <alignment horizontal="center" vertical="center" readingOrder="1"/>
    </xf>
    <xf numFmtId="14" fontId="2" fillId="3" borderId="7" xfId="0" applyNumberFormat="1" applyFont="1" applyFill="1" applyBorder="1" applyAlignment="1">
      <alignment horizontal="center" readingOrder="1"/>
    </xf>
    <xf numFmtId="0" fontId="2" fillId="3" borderId="8" xfId="0" applyFont="1" applyFill="1" applyBorder="1" applyAlignment="1">
      <alignment horizontal="left" readingOrder="1"/>
    </xf>
    <xf numFmtId="0" fontId="2" fillId="3" borderId="8" xfId="0" applyNumberFormat="1" applyFont="1" applyFill="1" applyBorder="1" applyAlignment="1">
      <alignment horizontal="right" readingOrder="1"/>
    </xf>
    <xf numFmtId="164" fontId="2" fillId="3" borderId="8" xfId="0" applyNumberFormat="1" applyFont="1" applyFill="1" applyBorder="1" applyAlignment="1">
      <alignment horizontal="right" readingOrder="1"/>
    </xf>
    <xf numFmtId="164" fontId="2" fillId="3" borderId="8" xfId="2" applyNumberFormat="1" applyFont="1" applyFill="1" applyBorder="1" applyAlignment="1">
      <alignment horizontal="right" readingOrder="1"/>
    </xf>
    <xf numFmtId="164" fontId="4" fillId="0" borderId="9" xfId="0" applyNumberFormat="1" applyFont="1"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4" fillId="0" borderId="1" xfId="0" applyNumberFormat="1" applyFont="1" applyBorder="1"/>
    <xf numFmtId="167" fontId="4" fillId="0" borderId="1" xfId="1" applyNumberFormat="1" applyFont="1" applyBorder="1"/>
  </cellXfs>
  <cellStyles count="3">
    <cellStyle name="Comma" xfId="1" builtinId="3"/>
    <cellStyle name="Normal" xfId="0" builtinId="0"/>
    <cellStyle name="Percent" xfId="2" builtinId="5"/>
  </cellStyles>
  <dxfs count="13">
    <dxf>
      <font>
        <b val="0"/>
        <i val="0"/>
        <strike val="0"/>
        <condense val="0"/>
        <extend val="0"/>
        <outline val="0"/>
        <shadow val="0"/>
        <u val="none"/>
        <vertAlign val="baseline"/>
        <sz val="11"/>
        <color theme="1"/>
        <name val="Arial"/>
        <scheme val="none"/>
      </font>
      <numFmt numFmtId="164" formatCode="&quot;Rs.&quot;#,##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Arial"/>
        <scheme val="none"/>
      </font>
      <numFmt numFmtId="164" formatCode="&quot;Rs.&quot;#,##0"/>
      <fill>
        <patternFill patternType="solid">
          <fgColor indexed="64"/>
          <bgColor rgb="FFFFFFFF"/>
        </patternFill>
      </fill>
      <alignment horizontal="right" vertical="bottom"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rial"/>
        <scheme val="none"/>
      </font>
      <numFmt numFmtId="164" formatCode="&quot;Rs.&quot;#,##0"/>
      <fill>
        <patternFill patternType="solid">
          <fgColor indexed="64"/>
          <bgColor rgb="FFFFFFFF"/>
        </patternFill>
      </fill>
      <alignment horizontal="right" vertical="bottom"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FFFFFF"/>
        </patternFill>
      </fill>
      <alignment horizontal="right" vertical="bottom"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left" vertical="bottom"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left" vertical="bottom"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left" vertical="bottom"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left" vertical="bottom"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rial"/>
        <scheme val="none"/>
      </font>
      <numFmt numFmtId="19" formatCode="m/d/yyyy"/>
      <fill>
        <patternFill patternType="solid">
          <fgColor indexed="64"/>
          <bgColor rgb="FFFFFFFF"/>
        </patternFill>
      </fill>
      <alignment horizontal="center" vertical="bottom" textRotation="0" wrapText="0" indent="0" justifyLastLine="0" shrinkToFit="0" readingOrder="1"/>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FFFFFF"/>
        <name val="Arial"/>
        <scheme val="none"/>
      </font>
      <numFmt numFmtId="164" formatCode="&quot;Rs.&quot;#,##0"/>
      <fill>
        <patternFill patternType="solid">
          <fgColor indexed="64"/>
          <bgColor rgb="FF002060"/>
        </patternFill>
      </fill>
      <alignment horizontal="center" vertical="center" textRotation="0" wrapText="0" indent="0" justifyLastLine="0" shrinkToFit="0" readingOrder="1"/>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173932062839971"/>
              <c:y val="7.175925925925925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521739130434781"/>
                  <c:h val="0.13875000000000001"/>
                </c:manualLayout>
              </c15:layout>
            </c:ext>
          </c:extLst>
        </c:dLbl>
      </c:pivotFmt>
      <c:pivotFmt>
        <c:idx val="2"/>
        <c:spPr>
          <a:solidFill>
            <a:schemeClr val="accent1"/>
          </a:solidFill>
          <a:ln w="19050">
            <a:solidFill>
              <a:schemeClr val="lt1"/>
            </a:solidFill>
          </a:ln>
          <a:effectLst/>
        </c:spPr>
        <c:dLbl>
          <c:idx val="0"/>
          <c:layout>
            <c:manualLayout>
              <c:x val="8.6352847198448018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55555555555556"/>
                  <c:h val="0.11560185185185186"/>
                </c:manualLayout>
              </c15:layout>
            </c:ext>
          </c:extLst>
        </c:dLbl>
      </c:pivotFmt>
      <c:pivotFmt>
        <c:idx val="3"/>
        <c:spPr>
          <a:solidFill>
            <a:schemeClr val="accent1"/>
          </a:solidFill>
          <a:ln w="19050">
            <a:solidFill>
              <a:schemeClr val="lt1"/>
            </a:solidFill>
          </a:ln>
          <a:effectLst/>
        </c:spPr>
        <c:dLbl>
          <c:idx val="0"/>
          <c:layout>
            <c:manualLayout>
              <c:x val="-8.2366959564837E-2"/>
              <c:y val="-8.5648148148148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8937198067633"/>
                  <c:h val="0.11097222222222222"/>
                </c:manualLayout>
              </c15:layout>
            </c:ext>
          </c:extLst>
        </c:dLbl>
      </c:pivotFmt>
      <c:pivotFmt>
        <c:idx val="4"/>
        <c:spPr>
          <a:solidFill>
            <a:schemeClr val="accent1"/>
          </a:solidFill>
          <a:ln w="19050">
            <a:solidFill>
              <a:schemeClr val="lt1"/>
            </a:solidFill>
          </a:ln>
          <a:effectLst/>
        </c:spPr>
        <c:dLbl>
          <c:idx val="0"/>
          <c:layout>
            <c:manualLayout>
              <c:x val="-0.1240336262315036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8937198067633"/>
                  <c:h val="0.11560185185185186"/>
                </c:manualLayout>
              </c15:layout>
            </c:ext>
          </c:extLst>
        </c:dLbl>
      </c:pivotFmt>
    </c:pivotFmts>
    <c:plotArea>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8.6352847198448018E-2"/>
                  <c:y val="-0.1111111111111111"/>
                </c:manualLayout>
              </c:layout>
              <c:showLegendKey val="0"/>
              <c:showVal val="1"/>
              <c:showCatName val="0"/>
              <c:showSerName val="0"/>
              <c:showPercent val="0"/>
              <c:showBubbleSize val="0"/>
              <c:extLst>
                <c:ext xmlns:c15="http://schemas.microsoft.com/office/drawing/2012/chart" uri="{CE6537A1-D6FC-4f65-9D91-7224C49458BB}">
                  <c15:layout>
                    <c:manualLayout>
                      <c:w val="0.21555555555555556"/>
                      <c:h val="0.11560185185185186"/>
                    </c:manualLayout>
                  </c15:layout>
                </c:ext>
              </c:extLst>
            </c:dLbl>
            <c:dLbl>
              <c:idx val="1"/>
              <c:layout>
                <c:manualLayout>
                  <c:x val="0.12173932062839971"/>
                  <c:y val="7.175925925925925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521739130434781"/>
                      <c:h val="0.13875000000000001"/>
                    </c:manualLayout>
                  </c15:layout>
                </c:ext>
              </c:extLst>
            </c:dLbl>
            <c:dLbl>
              <c:idx val="2"/>
              <c:layout>
                <c:manualLayout>
                  <c:x val="-0.12403362623150366"/>
                  <c:y val="3.7037037037037035E-2"/>
                </c:manualLayout>
              </c:layout>
              <c:showLegendKey val="0"/>
              <c:showVal val="1"/>
              <c:showCatName val="0"/>
              <c:showSerName val="0"/>
              <c:showPercent val="0"/>
              <c:showBubbleSize val="0"/>
              <c:extLst>
                <c:ext xmlns:c15="http://schemas.microsoft.com/office/drawing/2012/chart" uri="{CE6537A1-D6FC-4f65-9D91-7224C49458BB}">
                  <c15:layout>
                    <c:manualLayout>
                      <c:w val="0.2058937198067633"/>
                      <c:h val="0.11560185185185186"/>
                    </c:manualLayout>
                  </c15:layout>
                </c:ext>
              </c:extLst>
            </c:dLbl>
            <c:dLbl>
              <c:idx val="3"/>
              <c:layout>
                <c:manualLayout>
                  <c:x val="-8.2366959564837E-2"/>
                  <c:y val="-8.5648148148148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8937198067633"/>
                      <c:h val="0.1109722222222222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"Rs."##\,##,"L"</c:formatCode>
                <c:ptCount val="4"/>
                <c:pt idx="0">
                  <c:v>3534400</c:v>
                </c:pt>
                <c:pt idx="1">
                  <c:v>2661400</c:v>
                </c:pt>
                <c:pt idx="2">
                  <c:v>2870600</c:v>
                </c:pt>
                <c:pt idx="3">
                  <c:v>3878100</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Tables'!$D$4:$D$11</c:f>
              <c:strCache>
                <c:ptCount val="7"/>
                <c:pt idx="0">
                  <c:v>Action Figure</c:v>
                </c:pt>
                <c:pt idx="1">
                  <c:v>Blender</c:v>
                </c:pt>
                <c:pt idx="2">
                  <c:v>Moisturizer</c:v>
                </c:pt>
                <c:pt idx="3">
                  <c:v>Novel</c:v>
                </c:pt>
                <c:pt idx="4">
                  <c:v>Smartphone</c:v>
                </c:pt>
                <c:pt idx="5">
                  <c:v>Sneakers</c:v>
                </c:pt>
                <c:pt idx="6">
                  <c:v>Tent</c:v>
                </c:pt>
              </c:strCache>
            </c:strRef>
          </c:cat>
          <c:val>
            <c:numRef>
              <c:f>'Pivot Tables'!$E$4:$E$11</c:f>
              <c:numCache>
                <c:formatCode>##\,##,"L"</c:formatCode>
                <c:ptCount val="7"/>
                <c:pt idx="0">
                  <c:v>547200</c:v>
                </c:pt>
                <c:pt idx="1">
                  <c:v>2222500</c:v>
                </c:pt>
                <c:pt idx="2">
                  <c:v>706800</c:v>
                </c:pt>
                <c:pt idx="3">
                  <c:v>898000</c:v>
                </c:pt>
                <c:pt idx="4">
                  <c:v>2350000</c:v>
                </c:pt>
                <c:pt idx="5">
                  <c:v>3196000</c:v>
                </c:pt>
                <c:pt idx="6">
                  <c:v>3024000</c:v>
                </c:pt>
              </c:numCache>
            </c:numRef>
          </c:val>
        </c:ser>
        <c:dLbls>
          <c:showLegendKey val="0"/>
          <c:showVal val="0"/>
          <c:showCatName val="0"/>
          <c:showSerName val="0"/>
          <c:showPercent val="0"/>
          <c:showBubbleSize val="0"/>
        </c:dLbls>
        <c:gapWidth val="78"/>
        <c:axId val="1306766000"/>
        <c:axId val="1306774160"/>
      </c:barChart>
      <c:catAx>
        <c:axId val="130676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774160"/>
        <c:crosses val="autoZero"/>
        <c:auto val="1"/>
        <c:lblAlgn val="ctr"/>
        <c:lblOffset val="100"/>
        <c:noMultiLvlLbl val="0"/>
      </c:catAx>
      <c:valAx>
        <c:axId val="1306774160"/>
        <c:scaling>
          <c:orientation val="minMax"/>
        </c:scaling>
        <c:delete val="1"/>
        <c:axPos val="b"/>
        <c:numFmt formatCode="##\,##,&quot;L&quot;" sourceLinked="1"/>
        <c:majorTickMark val="none"/>
        <c:minorTickMark val="none"/>
        <c:tickLblPos val="nextTo"/>
        <c:crossAx val="1306766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Tables'!$H$4:$H$14</c:f>
              <c:numCache>
                <c:formatCode>"Rs."##\,##,"L"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ser>
        <c:dLbls>
          <c:dLblPos val="outEnd"/>
          <c:showLegendKey val="0"/>
          <c:showVal val="1"/>
          <c:showCatName val="0"/>
          <c:showSerName val="0"/>
          <c:showPercent val="0"/>
          <c:showBubbleSize val="0"/>
        </c:dLbls>
        <c:gapWidth val="76"/>
        <c:overlap val="-27"/>
        <c:axId val="1234209776"/>
        <c:axId val="1430943152"/>
      </c:barChart>
      <c:catAx>
        <c:axId val="123420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43152"/>
        <c:crosses val="autoZero"/>
        <c:auto val="1"/>
        <c:lblAlgn val="ctr"/>
        <c:lblOffset val="100"/>
        <c:noMultiLvlLbl val="0"/>
      </c:catAx>
      <c:valAx>
        <c:axId val="1430943152"/>
        <c:scaling>
          <c:orientation val="minMax"/>
        </c:scaling>
        <c:delete val="1"/>
        <c:axPos val="l"/>
        <c:numFmt formatCode="&quot;Rs.&quot;##\,##,&quot;L&quot;" sourceLinked="1"/>
        <c:majorTickMark val="none"/>
        <c:minorTickMark val="none"/>
        <c:tickLblPos val="nextTo"/>
        <c:crossAx val="1234209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Tables!PivotTable4</c:name>
    <c:fmtId val="1"/>
  </c:pivotSource>
  <c:chart>
    <c:autoTitleDeleted val="1"/>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Tables'!$J$4:$J$11</c:f>
              <c:strCache>
                <c:ptCount val="7"/>
                <c:pt idx="0">
                  <c:v>Action Figure</c:v>
                </c:pt>
                <c:pt idx="1">
                  <c:v>Blender</c:v>
                </c:pt>
                <c:pt idx="2">
                  <c:v>Moisturizer</c:v>
                </c:pt>
                <c:pt idx="3">
                  <c:v>Novel</c:v>
                </c:pt>
                <c:pt idx="4">
                  <c:v>Smartphone</c:v>
                </c:pt>
                <c:pt idx="5">
                  <c:v>Sneakers</c:v>
                </c:pt>
                <c:pt idx="6">
                  <c:v>Tent</c:v>
                </c:pt>
              </c:strCache>
            </c:strRef>
          </c:cat>
          <c:val>
            <c:numRef>
              <c:f>'Pivot Tables'!$K$4:$K$11</c:f>
              <c:numCache>
                <c:formatCode>General</c:formatCode>
                <c:ptCount val="7"/>
                <c:pt idx="0">
                  <c:v>456</c:v>
                </c:pt>
                <c:pt idx="1">
                  <c:v>635</c:v>
                </c:pt>
                <c:pt idx="2">
                  <c:v>1178</c:v>
                </c:pt>
                <c:pt idx="3">
                  <c:v>898</c:v>
                </c:pt>
                <c:pt idx="4">
                  <c:v>235</c:v>
                </c:pt>
                <c:pt idx="5">
                  <c:v>799</c:v>
                </c:pt>
                <c:pt idx="6">
                  <c:v>504</c:v>
                </c:pt>
              </c:numCache>
            </c:numRef>
          </c:val>
          <c:smooth val="0"/>
        </c:ser>
        <c:dLbls>
          <c:dLblPos val="t"/>
          <c:showLegendKey val="0"/>
          <c:showVal val="1"/>
          <c:showCatName val="0"/>
          <c:showSerName val="0"/>
          <c:showPercent val="0"/>
          <c:showBubbleSize val="0"/>
        </c:dLbls>
        <c:marker val="1"/>
        <c:smooth val="0"/>
        <c:axId val="1430945872"/>
        <c:axId val="1430933904"/>
      </c:lineChart>
      <c:catAx>
        <c:axId val="143094587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0933904"/>
        <c:crosses val="autoZero"/>
        <c:auto val="1"/>
        <c:lblAlgn val="ctr"/>
        <c:lblOffset val="100"/>
        <c:noMultiLvlLbl val="0"/>
      </c:catAx>
      <c:valAx>
        <c:axId val="1430933904"/>
        <c:scaling>
          <c:orientation val="minMax"/>
        </c:scaling>
        <c:delete val="1"/>
        <c:axPos val="l"/>
        <c:numFmt formatCode="General" sourceLinked="1"/>
        <c:majorTickMark val="none"/>
        <c:minorTickMark val="none"/>
        <c:tickLblPos val="nextTo"/>
        <c:crossAx val="1430945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Tables!PivotTable4</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rgbClr val="92D05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ln w="31750" cap="rnd">
            <a:solidFill>
              <a:srgbClr val="92D050"/>
            </a:solidFill>
            <a:round/>
          </a:ln>
          <a:effectLst/>
        </c:spPr>
        <c:marker>
          <c:symbol val="circle"/>
          <c:size val="6"/>
          <c:spPr>
            <a:solidFill>
              <a:schemeClr val="accent6">
                <a:lumMod val="75000"/>
              </a:schemeClr>
            </a:solidFill>
            <a:ln w="12700">
              <a:solidFill>
                <a:schemeClr val="accent6">
                  <a:lumMod val="60000"/>
                  <a:lumOff val="40000"/>
                </a:schemeClr>
              </a:solidFill>
              <a:round/>
            </a:ln>
            <a:effectLst/>
          </c:spPr>
        </c:marker>
      </c:pivotFmt>
      <c:pivotFmt>
        <c:idx val="4"/>
        <c:spPr>
          <a:ln w="31750" cap="rnd">
            <a:solidFill>
              <a:srgbClr val="92D050"/>
            </a:solidFill>
            <a:round/>
          </a:ln>
          <a:effectLst/>
        </c:spPr>
        <c:marker>
          <c:symbol val="circle"/>
          <c:size val="6"/>
          <c:spPr>
            <a:solidFill>
              <a:schemeClr val="accent6">
                <a:lumMod val="75000"/>
              </a:schemeClr>
            </a:solidFill>
            <a:ln w="12700">
              <a:solidFill>
                <a:schemeClr val="lt2"/>
              </a:solidFill>
              <a:round/>
            </a:ln>
            <a:effectLst/>
          </c:spPr>
        </c:marker>
      </c:pivotFmt>
      <c:pivotFmt>
        <c:idx val="5"/>
        <c:spPr>
          <a:ln w="31750" cap="rnd">
            <a:solidFill>
              <a:srgbClr val="92D050"/>
            </a:solidFill>
            <a:round/>
          </a:ln>
          <a:effectLst/>
        </c:spPr>
        <c:marker>
          <c:symbol val="circle"/>
          <c:size val="6"/>
          <c:spPr>
            <a:solidFill>
              <a:schemeClr val="accent6">
                <a:lumMod val="75000"/>
              </a:schemeClr>
            </a:solidFill>
            <a:ln w="12700">
              <a:solidFill>
                <a:schemeClr val="lt2"/>
              </a:solidFill>
              <a:round/>
            </a:ln>
            <a:effectLst/>
          </c:spPr>
        </c:marker>
      </c:pivotFmt>
      <c:pivotFmt>
        <c:idx val="6"/>
        <c:spPr>
          <a:ln w="31750" cap="rnd">
            <a:solidFill>
              <a:srgbClr val="92D050"/>
            </a:solidFill>
            <a:round/>
          </a:ln>
          <a:effectLst/>
        </c:spPr>
        <c:marker>
          <c:symbol val="circle"/>
          <c:size val="6"/>
          <c:spPr>
            <a:solidFill>
              <a:schemeClr val="accent6">
                <a:lumMod val="75000"/>
              </a:schemeClr>
            </a:solidFill>
            <a:ln w="12700">
              <a:solidFill>
                <a:schemeClr val="lt2"/>
              </a:solidFill>
              <a:round/>
            </a:ln>
            <a:effectLst/>
          </c:spPr>
        </c:marker>
      </c:pivotFmt>
      <c:pivotFmt>
        <c:idx val="7"/>
        <c:spPr>
          <a:ln w="31750" cap="rnd">
            <a:solidFill>
              <a:srgbClr val="92D050"/>
            </a:solidFill>
            <a:round/>
          </a:ln>
          <a:effectLst/>
        </c:spPr>
        <c:marker>
          <c:symbol val="circle"/>
          <c:size val="6"/>
          <c:spPr>
            <a:solidFill>
              <a:schemeClr val="accent6">
                <a:lumMod val="75000"/>
              </a:schemeClr>
            </a:solidFill>
            <a:ln w="12700">
              <a:solidFill>
                <a:schemeClr val="lt2"/>
              </a:solidFill>
              <a:round/>
            </a:ln>
            <a:effectLst/>
          </c:spPr>
        </c:marker>
      </c:pivotFmt>
      <c:pivotFmt>
        <c:idx val="8"/>
        <c:spPr>
          <a:ln w="31750" cap="rnd">
            <a:solidFill>
              <a:srgbClr val="92D050"/>
            </a:solidFill>
            <a:round/>
          </a:ln>
          <a:effectLst/>
        </c:spPr>
        <c:marker>
          <c:symbol val="circle"/>
          <c:size val="6"/>
          <c:spPr>
            <a:solidFill>
              <a:schemeClr val="accent6">
                <a:lumMod val="75000"/>
              </a:schemeClr>
            </a:solidFill>
            <a:ln w="12700">
              <a:solidFill>
                <a:schemeClr val="lt2"/>
              </a:solidFill>
              <a:round/>
            </a:ln>
            <a:effectLst/>
          </c:spPr>
        </c:marker>
      </c:pivotFmt>
      <c:pivotFmt>
        <c:idx val="9"/>
        <c:spPr>
          <a:ln w="31750" cap="rnd">
            <a:solidFill>
              <a:srgbClr val="92D050"/>
            </a:solidFill>
            <a:round/>
          </a:ln>
          <a:effectLst/>
        </c:spPr>
        <c:marker>
          <c:symbol val="circle"/>
          <c:size val="6"/>
          <c:spPr>
            <a:solidFill>
              <a:schemeClr val="accent6">
                <a:lumMod val="75000"/>
              </a:schemeClr>
            </a:solidFill>
            <a:ln w="12700">
              <a:solidFill>
                <a:schemeClr val="lt2"/>
              </a:solidFill>
              <a:round/>
            </a:ln>
            <a:effectLst/>
          </c:spPr>
        </c:marker>
      </c:pivotFmt>
    </c:pivotFmts>
    <c:plotArea>
      <c:layout/>
      <c:lineChart>
        <c:grouping val="standard"/>
        <c:varyColors val="0"/>
        <c:ser>
          <c:idx val="0"/>
          <c:order val="0"/>
          <c:tx>
            <c:strRef>
              <c:f>'Pivot Tables'!$K$3</c:f>
              <c:strCache>
                <c:ptCount val="1"/>
                <c:pt idx="0">
                  <c:v>Total</c:v>
                </c:pt>
              </c:strCache>
            </c:strRef>
          </c:tx>
          <c:spPr>
            <a:ln w="31750" cap="rnd">
              <a:solidFill>
                <a:srgbClr val="92D05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0"/>
            <c:marker>
              <c:symbol val="circle"/>
              <c:size val="6"/>
              <c:spPr>
                <a:solidFill>
                  <a:schemeClr val="accent6">
                    <a:lumMod val="75000"/>
                  </a:schemeClr>
                </a:solidFill>
                <a:ln w="12700">
                  <a:solidFill>
                    <a:schemeClr val="lt2"/>
                  </a:solidFill>
                  <a:round/>
                </a:ln>
                <a:effectLst/>
              </c:spPr>
            </c:marker>
            <c:bubble3D val="0"/>
            <c:spPr>
              <a:ln w="31750" cap="rnd">
                <a:solidFill>
                  <a:srgbClr val="92D050"/>
                </a:solidFill>
                <a:round/>
              </a:ln>
              <a:effectLst/>
            </c:spPr>
          </c:dPt>
          <c:dPt>
            <c:idx val="1"/>
            <c:marker>
              <c:symbol val="circle"/>
              <c:size val="6"/>
              <c:spPr>
                <a:solidFill>
                  <a:schemeClr val="accent6">
                    <a:lumMod val="75000"/>
                  </a:schemeClr>
                </a:solidFill>
                <a:ln w="12700">
                  <a:solidFill>
                    <a:schemeClr val="lt2"/>
                  </a:solidFill>
                  <a:round/>
                </a:ln>
                <a:effectLst/>
              </c:spPr>
            </c:marker>
            <c:bubble3D val="0"/>
            <c:spPr>
              <a:ln w="31750" cap="rnd">
                <a:solidFill>
                  <a:srgbClr val="92D050"/>
                </a:solidFill>
                <a:round/>
              </a:ln>
              <a:effectLst/>
            </c:spPr>
          </c:dPt>
          <c:dPt>
            <c:idx val="2"/>
            <c:marker>
              <c:symbol val="circle"/>
              <c:size val="6"/>
              <c:spPr>
                <a:solidFill>
                  <a:schemeClr val="accent6">
                    <a:lumMod val="75000"/>
                  </a:schemeClr>
                </a:solidFill>
                <a:ln w="12700">
                  <a:solidFill>
                    <a:schemeClr val="lt2"/>
                  </a:solidFill>
                  <a:round/>
                </a:ln>
                <a:effectLst/>
              </c:spPr>
            </c:marker>
            <c:bubble3D val="0"/>
            <c:spPr>
              <a:ln w="31750" cap="rnd">
                <a:solidFill>
                  <a:srgbClr val="92D050"/>
                </a:solidFill>
                <a:round/>
              </a:ln>
              <a:effectLst/>
            </c:spPr>
          </c:dPt>
          <c:dPt>
            <c:idx val="3"/>
            <c:marker>
              <c:symbol val="circle"/>
              <c:size val="6"/>
              <c:spPr>
                <a:solidFill>
                  <a:schemeClr val="accent6">
                    <a:lumMod val="75000"/>
                  </a:schemeClr>
                </a:solidFill>
                <a:ln w="12700">
                  <a:solidFill>
                    <a:schemeClr val="lt2"/>
                  </a:solidFill>
                  <a:round/>
                </a:ln>
                <a:effectLst/>
              </c:spPr>
            </c:marker>
            <c:bubble3D val="0"/>
            <c:spPr>
              <a:ln w="31750" cap="rnd">
                <a:solidFill>
                  <a:srgbClr val="92D050"/>
                </a:solidFill>
                <a:round/>
              </a:ln>
              <a:effectLst/>
            </c:spPr>
          </c:dPt>
          <c:dPt>
            <c:idx val="4"/>
            <c:marker>
              <c:symbol val="circle"/>
              <c:size val="6"/>
              <c:spPr>
                <a:solidFill>
                  <a:schemeClr val="accent6">
                    <a:lumMod val="75000"/>
                  </a:schemeClr>
                </a:solidFill>
                <a:ln w="12700">
                  <a:solidFill>
                    <a:schemeClr val="lt2"/>
                  </a:solidFill>
                  <a:round/>
                </a:ln>
                <a:effectLst/>
              </c:spPr>
            </c:marker>
            <c:bubble3D val="0"/>
            <c:spPr>
              <a:ln w="31750" cap="rnd">
                <a:solidFill>
                  <a:srgbClr val="92D050"/>
                </a:solidFill>
                <a:round/>
              </a:ln>
              <a:effectLst/>
            </c:spPr>
          </c:dPt>
          <c:dPt>
            <c:idx val="5"/>
            <c:marker>
              <c:symbol val="circle"/>
              <c:size val="6"/>
              <c:spPr>
                <a:solidFill>
                  <a:schemeClr val="accent6">
                    <a:lumMod val="75000"/>
                  </a:schemeClr>
                </a:solidFill>
                <a:ln w="12700">
                  <a:solidFill>
                    <a:schemeClr val="lt2"/>
                  </a:solidFill>
                  <a:round/>
                </a:ln>
                <a:effectLst/>
              </c:spPr>
            </c:marker>
            <c:bubble3D val="0"/>
            <c:spPr>
              <a:ln w="31750" cap="rnd">
                <a:solidFill>
                  <a:srgbClr val="92D050"/>
                </a:solidFill>
                <a:round/>
              </a:ln>
              <a:effectLst/>
            </c:spPr>
          </c:dPt>
          <c:dPt>
            <c:idx val="6"/>
            <c:marker>
              <c:symbol val="circle"/>
              <c:size val="6"/>
              <c:spPr>
                <a:solidFill>
                  <a:schemeClr val="accent6">
                    <a:lumMod val="75000"/>
                  </a:schemeClr>
                </a:solidFill>
                <a:ln w="12700">
                  <a:solidFill>
                    <a:schemeClr val="accent6">
                      <a:lumMod val="60000"/>
                      <a:lumOff val="40000"/>
                    </a:schemeClr>
                  </a:solidFill>
                  <a:round/>
                </a:ln>
                <a:effectLst/>
              </c:spPr>
            </c:marker>
            <c:bubble3D val="0"/>
            <c:spPr>
              <a:ln w="31750" cap="rnd">
                <a:solidFill>
                  <a:srgbClr val="92D050"/>
                </a:solidFill>
                <a:round/>
              </a:ln>
              <a:effectLst/>
            </c:spPr>
          </c:dPt>
          <c:dLbls>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Tables'!$J$4:$J$11</c:f>
              <c:strCache>
                <c:ptCount val="7"/>
                <c:pt idx="0">
                  <c:v>Action Figure</c:v>
                </c:pt>
                <c:pt idx="1">
                  <c:v>Blender</c:v>
                </c:pt>
                <c:pt idx="2">
                  <c:v>Moisturizer</c:v>
                </c:pt>
                <c:pt idx="3">
                  <c:v>Novel</c:v>
                </c:pt>
                <c:pt idx="4">
                  <c:v>Smartphone</c:v>
                </c:pt>
                <c:pt idx="5">
                  <c:v>Sneakers</c:v>
                </c:pt>
                <c:pt idx="6">
                  <c:v>Tent</c:v>
                </c:pt>
              </c:strCache>
            </c:strRef>
          </c:cat>
          <c:val>
            <c:numRef>
              <c:f>'Pivot Tables'!$K$4:$K$11</c:f>
              <c:numCache>
                <c:formatCode>General</c:formatCode>
                <c:ptCount val="7"/>
                <c:pt idx="0">
                  <c:v>456</c:v>
                </c:pt>
                <c:pt idx="1">
                  <c:v>635</c:v>
                </c:pt>
                <c:pt idx="2">
                  <c:v>1178</c:v>
                </c:pt>
                <c:pt idx="3">
                  <c:v>898</c:v>
                </c:pt>
                <c:pt idx="4">
                  <c:v>235</c:v>
                </c:pt>
                <c:pt idx="5">
                  <c:v>799</c:v>
                </c:pt>
                <c:pt idx="6">
                  <c:v>504</c:v>
                </c:pt>
              </c:numCache>
            </c:numRef>
          </c:val>
          <c:smooth val="0"/>
        </c:ser>
        <c:dLbls>
          <c:dLblPos val="t"/>
          <c:showLegendKey val="0"/>
          <c:showVal val="1"/>
          <c:showCatName val="0"/>
          <c:showSerName val="0"/>
          <c:showPercent val="0"/>
          <c:showBubbleSize val="0"/>
        </c:dLbls>
        <c:marker val="1"/>
        <c:smooth val="0"/>
        <c:axId val="1430934992"/>
        <c:axId val="1430941520"/>
      </c:lineChart>
      <c:catAx>
        <c:axId val="1430934992"/>
        <c:scaling>
          <c:orientation val="minMax"/>
        </c:scaling>
        <c:delete val="0"/>
        <c:axPos val="b"/>
        <c:numFmt formatCode="General" sourceLinked="1"/>
        <c:majorTickMark val="out"/>
        <c:minorTickMark val="none"/>
        <c:tickLblPos val="nextTo"/>
        <c:spPr>
          <a:solidFill>
            <a:schemeClr val="bg1"/>
          </a:solidFill>
          <a:ln w="9525" cap="flat" cmpd="sng" algn="ctr">
            <a:solidFill>
              <a:schemeClr val="accent6">
                <a:lumMod val="7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430941520"/>
        <c:crosses val="autoZero"/>
        <c:auto val="1"/>
        <c:lblAlgn val="ctr"/>
        <c:lblOffset val="100"/>
        <c:noMultiLvlLbl val="0"/>
      </c:catAx>
      <c:valAx>
        <c:axId val="1430941520"/>
        <c:scaling>
          <c:orientation val="minMax"/>
        </c:scaling>
        <c:delete val="1"/>
        <c:axPos val="l"/>
        <c:numFmt formatCode="General" sourceLinked="1"/>
        <c:majorTickMark val="none"/>
        <c:minorTickMark val="none"/>
        <c:tickLblPos val="nextTo"/>
        <c:crossAx val="14309349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173932062839971"/>
              <c:y val="7.175925925925925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521739130434781"/>
                  <c:h val="0.13875000000000001"/>
                </c:manualLayout>
              </c15:layout>
            </c:ext>
          </c:extLst>
        </c:dLbl>
      </c:pivotFmt>
      <c:pivotFmt>
        <c:idx val="2"/>
        <c:spPr>
          <a:solidFill>
            <a:schemeClr val="accent1"/>
          </a:solidFill>
          <a:ln w="19050">
            <a:solidFill>
              <a:schemeClr val="lt1"/>
            </a:solidFill>
          </a:ln>
          <a:effectLst/>
        </c:spPr>
        <c:dLbl>
          <c:idx val="0"/>
          <c:layout>
            <c:manualLayout>
              <c:x val="8.6352847198448018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55555555555556"/>
                  <c:h val="0.11560185185185186"/>
                </c:manualLayout>
              </c15:layout>
            </c:ext>
          </c:extLst>
        </c:dLbl>
      </c:pivotFmt>
      <c:pivotFmt>
        <c:idx val="3"/>
        <c:spPr>
          <a:solidFill>
            <a:schemeClr val="accent1"/>
          </a:solidFill>
          <a:ln w="19050">
            <a:solidFill>
              <a:schemeClr val="lt1"/>
            </a:solidFill>
          </a:ln>
          <a:effectLst/>
        </c:spPr>
        <c:dLbl>
          <c:idx val="0"/>
          <c:layout>
            <c:manualLayout>
              <c:x val="-8.2366959564837E-2"/>
              <c:y val="-8.5648148148148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8937198067633"/>
                  <c:h val="0.11097222222222222"/>
                </c:manualLayout>
              </c15:layout>
            </c:ext>
          </c:extLst>
        </c:dLbl>
      </c:pivotFmt>
      <c:pivotFmt>
        <c:idx val="4"/>
        <c:spPr>
          <a:solidFill>
            <a:schemeClr val="accent1"/>
          </a:solidFill>
          <a:ln w="19050">
            <a:solidFill>
              <a:schemeClr val="lt1"/>
            </a:solidFill>
          </a:ln>
          <a:effectLst/>
        </c:spPr>
        <c:dLbl>
          <c:idx val="0"/>
          <c:layout>
            <c:manualLayout>
              <c:x val="-0.1240336262315036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8937198067633"/>
                  <c:h val="0.11560185185185186"/>
                </c:manualLayout>
              </c15:layout>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6352847198448018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55555555555556"/>
                  <c:h val="0.11560185185185186"/>
                </c:manualLayout>
              </c15:layout>
            </c:ext>
          </c:extLst>
        </c:dLbl>
      </c:pivotFmt>
      <c:pivotFmt>
        <c:idx val="7"/>
        <c:spPr>
          <a:solidFill>
            <a:schemeClr val="accent1"/>
          </a:solidFill>
          <a:ln w="19050">
            <a:solidFill>
              <a:schemeClr val="lt1"/>
            </a:solidFill>
          </a:ln>
          <a:effectLst/>
        </c:spPr>
        <c:dLbl>
          <c:idx val="0"/>
          <c:layout>
            <c:manualLayout>
              <c:x val="0.12173932062839971"/>
              <c:y val="7.175925925925925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521739130434781"/>
                  <c:h val="0.13875000000000001"/>
                </c:manualLayout>
              </c15:layout>
            </c:ext>
          </c:extLst>
        </c:dLbl>
      </c:pivotFmt>
      <c:pivotFmt>
        <c:idx val="8"/>
        <c:spPr>
          <a:solidFill>
            <a:schemeClr val="accent1"/>
          </a:solidFill>
          <a:ln w="19050">
            <a:solidFill>
              <a:schemeClr val="lt1"/>
            </a:solidFill>
          </a:ln>
          <a:effectLst/>
        </c:spPr>
        <c:dLbl>
          <c:idx val="0"/>
          <c:layout>
            <c:manualLayout>
              <c:x val="-0.1240336262315036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8937198067633"/>
                  <c:h val="0.11560185185185186"/>
                </c:manualLayout>
              </c15:layout>
            </c:ext>
          </c:extLst>
        </c:dLbl>
      </c:pivotFmt>
      <c:pivotFmt>
        <c:idx val="9"/>
        <c:spPr>
          <a:solidFill>
            <a:schemeClr val="accent1"/>
          </a:solidFill>
          <a:ln w="19050">
            <a:solidFill>
              <a:schemeClr val="lt1"/>
            </a:solidFill>
          </a:ln>
          <a:effectLst/>
        </c:spPr>
        <c:dLbl>
          <c:idx val="0"/>
          <c:layout>
            <c:manualLayout>
              <c:x val="-8.2366959564837E-2"/>
              <c:y val="-8.5648148148148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8937198067633"/>
                  <c:h val="0.11097222222222222"/>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8.6352847198448018E-2"/>
              <c:y val="-0.1111111111111111"/>
            </c:manualLayout>
          </c:layout>
          <c:spPr>
            <a:noFill/>
            <a:ln>
              <a:noFill/>
            </a:ln>
            <a:effectLst/>
          </c:spPr>
          <c:txPr>
            <a:bodyPr rot="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55555555555556"/>
                  <c:h val="0.11560185185185186"/>
                </c:manualLayout>
              </c15:layout>
            </c:ext>
          </c:extLst>
        </c:dLbl>
      </c:pivotFmt>
      <c:pivotFmt>
        <c:idx val="12"/>
        <c:spPr>
          <a:solidFill>
            <a:schemeClr val="accent6">
              <a:lumMod val="50000"/>
            </a:schemeClr>
          </a:solidFill>
          <a:ln w="19050">
            <a:solidFill>
              <a:schemeClr val="lt1"/>
            </a:solidFill>
          </a:ln>
          <a:effectLst/>
        </c:spPr>
        <c:dLbl>
          <c:idx val="0"/>
          <c:layout>
            <c:manualLayout>
              <c:x val="0.12173932062839971"/>
              <c:y val="7.1759259259259259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521739130434781"/>
                  <c:h val="0.13875000000000001"/>
                </c:manualLayout>
              </c15:layout>
            </c:ext>
          </c:extLst>
        </c:dLbl>
      </c:pivotFmt>
      <c:pivotFmt>
        <c:idx val="13"/>
        <c:spPr>
          <a:solidFill>
            <a:srgbClr val="92D050"/>
          </a:solidFill>
          <a:ln w="19050">
            <a:solidFill>
              <a:schemeClr val="lt1"/>
            </a:solidFill>
          </a:ln>
          <a:effectLst/>
        </c:spPr>
        <c:dLbl>
          <c:idx val="0"/>
          <c:layout>
            <c:manualLayout>
              <c:x val="-0.12403362623150366"/>
              <c:y val="3.7037037037037035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8937198067633"/>
                  <c:h val="0.11560185185185186"/>
                </c:manualLayout>
              </c15:layout>
            </c:ext>
          </c:extLst>
        </c:dLbl>
      </c:pivotFmt>
      <c:pivotFmt>
        <c:idx val="14"/>
        <c:spPr>
          <a:solidFill>
            <a:schemeClr val="accent6">
              <a:lumMod val="60000"/>
              <a:lumOff val="40000"/>
            </a:schemeClr>
          </a:solidFill>
          <a:ln w="19050">
            <a:solidFill>
              <a:schemeClr val="lt1"/>
            </a:solidFill>
          </a:ln>
          <a:effectLst/>
        </c:spPr>
        <c:dLbl>
          <c:idx val="0"/>
          <c:layout>
            <c:manualLayout>
              <c:x val="-8.2366959564837E-2"/>
              <c:y val="-8.564814814814814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8937198067633"/>
                  <c:h val="0.11097222222222222"/>
                </c:manualLayout>
              </c15:layout>
            </c:ext>
          </c:extLst>
        </c:dLbl>
      </c:pivotFmt>
    </c:pivotFmts>
    <c:plotArea>
      <c:layout/>
      <c:doughnutChart>
        <c:varyColors val="1"/>
        <c:ser>
          <c:idx val="0"/>
          <c:order val="0"/>
          <c:tx>
            <c:strRef>
              <c:f>'Pivot Tables'!$B$3</c:f>
              <c:strCache>
                <c:ptCount val="1"/>
                <c:pt idx="0">
                  <c:v>Total</c:v>
                </c:pt>
              </c:strCache>
            </c:strRef>
          </c:tx>
          <c:dPt>
            <c:idx val="0"/>
            <c:bubble3D val="0"/>
            <c:spPr>
              <a:solidFill>
                <a:schemeClr val="accent6"/>
              </a:solidFill>
              <a:ln w="19050">
                <a:solidFill>
                  <a:schemeClr val="lt1"/>
                </a:solidFill>
              </a:ln>
              <a:effectLst/>
            </c:spPr>
          </c:dPt>
          <c:dPt>
            <c:idx val="1"/>
            <c:bubble3D val="0"/>
            <c:spPr>
              <a:solidFill>
                <a:schemeClr val="accent6">
                  <a:lumMod val="50000"/>
                </a:schemeClr>
              </a:solidFill>
              <a:ln w="19050">
                <a:solidFill>
                  <a:schemeClr val="lt1"/>
                </a:solidFill>
              </a:ln>
              <a:effectLst/>
            </c:spPr>
          </c:dPt>
          <c:dPt>
            <c:idx val="2"/>
            <c:bubble3D val="0"/>
            <c:spPr>
              <a:solidFill>
                <a:srgbClr val="92D050"/>
              </a:solidFill>
              <a:ln w="19050">
                <a:solidFill>
                  <a:schemeClr val="lt1"/>
                </a:solidFill>
              </a:ln>
              <a:effectLst/>
            </c:spPr>
          </c:dPt>
          <c:dPt>
            <c:idx val="3"/>
            <c:bubble3D val="0"/>
            <c:spPr>
              <a:solidFill>
                <a:schemeClr val="accent6">
                  <a:lumMod val="60000"/>
                  <a:lumOff val="40000"/>
                </a:schemeClr>
              </a:solidFill>
              <a:ln w="19050">
                <a:solidFill>
                  <a:schemeClr val="lt1"/>
                </a:solidFill>
              </a:ln>
              <a:effectLst/>
            </c:spPr>
          </c:dPt>
          <c:dLbls>
            <c:dLbl>
              <c:idx val="0"/>
              <c:layout>
                <c:manualLayout>
                  <c:x val="8.6352847198448018E-2"/>
                  <c:y val="-0.1111111111111111"/>
                </c:manualLayout>
              </c:layout>
              <c:showLegendKey val="0"/>
              <c:showVal val="1"/>
              <c:showCatName val="0"/>
              <c:showSerName val="0"/>
              <c:showPercent val="0"/>
              <c:showBubbleSize val="0"/>
              <c:extLst>
                <c:ext xmlns:c15="http://schemas.microsoft.com/office/drawing/2012/chart" uri="{CE6537A1-D6FC-4f65-9D91-7224C49458BB}">
                  <c15:layout>
                    <c:manualLayout>
                      <c:w val="0.21555555555555556"/>
                      <c:h val="0.11560185185185186"/>
                    </c:manualLayout>
                  </c15:layout>
                </c:ext>
              </c:extLst>
            </c:dLbl>
            <c:dLbl>
              <c:idx val="1"/>
              <c:layout>
                <c:manualLayout>
                  <c:x val="0.12173932062839971"/>
                  <c:y val="7.1759259259259259E-2"/>
                </c:manualLayout>
              </c:layout>
              <c:showLegendKey val="0"/>
              <c:showVal val="1"/>
              <c:showCatName val="0"/>
              <c:showSerName val="0"/>
              <c:showPercent val="0"/>
              <c:showBubbleSize val="0"/>
              <c:extLst>
                <c:ext xmlns:c15="http://schemas.microsoft.com/office/drawing/2012/chart" uri="{CE6537A1-D6FC-4f65-9D91-7224C49458BB}">
                  <c15:layout>
                    <c:manualLayout>
                      <c:w val="0.22521739130434781"/>
                      <c:h val="0.13875000000000001"/>
                    </c:manualLayout>
                  </c15:layout>
                </c:ext>
              </c:extLst>
            </c:dLbl>
            <c:dLbl>
              <c:idx val="2"/>
              <c:layout>
                <c:manualLayout>
                  <c:x val="-0.12403362623150366"/>
                  <c:y val="3.7037037037037035E-2"/>
                </c:manualLayout>
              </c:layout>
              <c:showLegendKey val="0"/>
              <c:showVal val="1"/>
              <c:showCatName val="0"/>
              <c:showSerName val="0"/>
              <c:showPercent val="0"/>
              <c:showBubbleSize val="0"/>
              <c:extLst>
                <c:ext xmlns:c15="http://schemas.microsoft.com/office/drawing/2012/chart" uri="{CE6537A1-D6FC-4f65-9D91-7224C49458BB}">
                  <c15:layout>
                    <c:manualLayout>
                      <c:w val="0.2058937198067633"/>
                      <c:h val="0.11560185185185186"/>
                    </c:manualLayout>
                  </c15:layout>
                </c:ext>
              </c:extLst>
            </c:dLbl>
            <c:dLbl>
              <c:idx val="3"/>
              <c:layout>
                <c:manualLayout>
                  <c:x val="-8.2366959564837E-2"/>
                  <c:y val="-8.564814814814814E-2"/>
                </c:manualLayout>
              </c:layout>
              <c:showLegendKey val="0"/>
              <c:showVal val="1"/>
              <c:showCatName val="0"/>
              <c:showSerName val="0"/>
              <c:showPercent val="0"/>
              <c:showBubbleSize val="0"/>
              <c:extLst>
                <c:ext xmlns:c15="http://schemas.microsoft.com/office/drawing/2012/chart" uri="{CE6537A1-D6FC-4f65-9D91-7224C49458BB}">
                  <c15:layout>
                    <c:manualLayout>
                      <c:w val="0.2058937198067633"/>
                      <c:h val="0.11097222222222222"/>
                    </c:manualLayout>
                  </c15:layout>
                </c:ext>
              </c:extLst>
            </c:dLbl>
            <c:spPr>
              <a:noFill/>
              <a:ln>
                <a:noFill/>
              </a:ln>
              <a:effectLst/>
            </c:spPr>
            <c:txPr>
              <a:bodyPr rot="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"Rs."##\,##,"L"</c:formatCode>
                <c:ptCount val="4"/>
                <c:pt idx="0">
                  <c:v>3534400</c:v>
                </c:pt>
                <c:pt idx="1">
                  <c:v>2661400</c:v>
                </c:pt>
                <c:pt idx="2">
                  <c:v>2870600</c:v>
                </c:pt>
                <c:pt idx="3">
                  <c:v>3878100</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Tables'!$D$4:$D$11</c:f>
              <c:strCache>
                <c:ptCount val="7"/>
                <c:pt idx="0">
                  <c:v>Action Figure</c:v>
                </c:pt>
                <c:pt idx="1">
                  <c:v>Blender</c:v>
                </c:pt>
                <c:pt idx="2">
                  <c:v>Moisturizer</c:v>
                </c:pt>
                <c:pt idx="3">
                  <c:v>Novel</c:v>
                </c:pt>
                <c:pt idx="4">
                  <c:v>Smartphone</c:v>
                </c:pt>
                <c:pt idx="5">
                  <c:v>Sneakers</c:v>
                </c:pt>
                <c:pt idx="6">
                  <c:v>Tent</c:v>
                </c:pt>
              </c:strCache>
            </c:strRef>
          </c:cat>
          <c:val>
            <c:numRef>
              <c:f>'Pivot Tables'!$E$4:$E$11</c:f>
              <c:numCache>
                <c:formatCode>##\,##,"L"</c:formatCode>
                <c:ptCount val="7"/>
                <c:pt idx="0">
                  <c:v>547200</c:v>
                </c:pt>
                <c:pt idx="1">
                  <c:v>2222500</c:v>
                </c:pt>
                <c:pt idx="2">
                  <c:v>706800</c:v>
                </c:pt>
                <c:pt idx="3">
                  <c:v>898000</c:v>
                </c:pt>
                <c:pt idx="4">
                  <c:v>2350000</c:v>
                </c:pt>
                <c:pt idx="5">
                  <c:v>3196000</c:v>
                </c:pt>
                <c:pt idx="6">
                  <c:v>3024000</c:v>
                </c:pt>
              </c:numCache>
            </c:numRef>
          </c:val>
        </c:ser>
        <c:dLbls>
          <c:showLegendKey val="0"/>
          <c:showVal val="0"/>
          <c:showCatName val="0"/>
          <c:showSerName val="0"/>
          <c:showPercent val="0"/>
          <c:showBubbleSize val="0"/>
        </c:dLbls>
        <c:gapWidth val="78"/>
        <c:axId val="1430937168"/>
        <c:axId val="1430945328"/>
      </c:barChart>
      <c:catAx>
        <c:axId val="143093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430945328"/>
        <c:crosses val="autoZero"/>
        <c:auto val="1"/>
        <c:lblAlgn val="ctr"/>
        <c:lblOffset val="100"/>
        <c:noMultiLvlLbl val="0"/>
      </c:catAx>
      <c:valAx>
        <c:axId val="1430945328"/>
        <c:scaling>
          <c:orientation val="minMax"/>
        </c:scaling>
        <c:delete val="1"/>
        <c:axPos val="b"/>
        <c:numFmt formatCode="##\,##,&quot;L&quot;" sourceLinked="1"/>
        <c:majorTickMark val="none"/>
        <c:minorTickMark val="none"/>
        <c:tickLblPos val="nextTo"/>
        <c:crossAx val="14309371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layout/>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Tables'!$H$3</c:f>
              <c:strCache>
                <c:ptCount val="1"/>
                <c:pt idx="0">
                  <c:v>Total</c:v>
                </c:pt>
              </c:strCache>
            </c:strRef>
          </c:tx>
          <c:spPr>
            <a:solidFill>
              <a:schemeClr val="accent6"/>
            </a:solidFill>
            <a:ln>
              <a:noFill/>
            </a:ln>
            <a:effectLst/>
          </c:spPr>
          <c:invertIfNegative val="0"/>
          <c:dLbls>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Tables'!$H$4:$H$14</c:f>
              <c:numCache>
                <c:formatCode>"Rs."##\,##,"L"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ser>
        <c:dLbls>
          <c:dLblPos val="outEnd"/>
          <c:showLegendKey val="0"/>
          <c:showVal val="1"/>
          <c:showCatName val="0"/>
          <c:showSerName val="0"/>
          <c:showPercent val="0"/>
          <c:showBubbleSize val="0"/>
        </c:dLbls>
        <c:gapWidth val="76"/>
        <c:overlap val="-27"/>
        <c:axId val="1430947504"/>
        <c:axId val="1430948048"/>
      </c:barChart>
      <c:catAx>
        <c:axId val="14309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430948048"/>
        <c:crosses val="autoZero"/>
        <c:auto val="1"/>
        <c:lblAlgn val="ctr"/>
        <c:lblOffset val="100"/>
        <c:noMultiLvlLbl val="0"/>
      </c:catAx>
      <c:valAx>
        <c:axId val="1430948048"/>
        <c:scaling>
          <c:orientation val="minMax"/>
        </c:scaling>
        <c:delete val="1"/>
        <c:axPos val="l"/>
        <c:numFmt formatCode="&quot;Rs.&quot;##\,##,&quot;L&quot;" sourceLinked="1"/>
        <c:majorTickMark val="none"/>
        <c:minorTickMark val="none"/>
        <c:tickLblPos val="nextTo"/>
        <c:crossAx val="14309475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5.xml"/><Relationship Id="rId5" Type="http://schemas.microsoft.com/office/2007/relationships/hdphoto" Target="../media/hdphoto1.wdp"/><Relationship Id="rId4" Type="http://schemas.openxmlformats.org/officeDocument/2006/relationships/image" Target="../media/image4.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14287</xdr:rowOff>
    </xdr:from>
    <xdr:to>
      <xdr:col>2</xdr:col>
      <xdr:colOff>600075</xdr:colOff>
      <xdr:row>29</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609599</xdr:colOff>
      <xdr:row>15</xdr:row>
      <xdr:rowOff>4762</xdr:rowOff>
    </xdr:from>
    <xdr:to>
      <xdr:col>7</xdr:col>
      <xdr:colOff>1142999</xdr:colOff>
      <xdr:row>29</xdr:row>
      <xdr:rowOff>80962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14287</xdr:colOff>
      <xdr:row>15</xdr:row>
      <xdr:rowOff>4762</xdr:rowOff>
    </xdr:from>
    <xdr:to>
      <xdr:col>14</xdr:col>
      <xdr:colOff>157162</xdr:colOff>
      <xdr:row>29</xdr:row>
      <xdr:rowOff>80962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14287</xdr:colOff>
      <xdr:row>0</xdr:row>
      <xdr:rowOff>100012</xdr:rowOff>
    </xdr:from>
    <xdr:to>
      <xdr:col>17</xdr:col>
      <xdr:colOff>428625</xdr:colOff>
      <xdr:row>14</xdr:row>
      <xdr:rowOff>176212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152400</xdr:colOff>
      <xdr:row>15</xdr:row>
      <xdr:rowOff>19050</xdr:rowOff>
    </xdr:from>
    <xdr:to>
      <xdr:col>20</xdr:col>
      <xdr:colOff>152400</xdr:colOff>
      <xdr:row>28</xdr:row>
      <xdr:rowOff>66675</xdr:rowOff>
    </xdr:to>
    <mc:AlternateContent xmlns:mc="http://schemas.openxmlformats.org/markup-compatibility/2006" xmlns:a14="http://schemas.microsoft.com/office/drawing/2010/main">
      <mc:Choice Requires="a14">
        <xdr:graphicFrame macro="">
          <xdr:nvGraphicFramePr>
            <xdr:cNvPr id="6" name="Sales Person"/>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3716000" y="287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419100</xdr:colOff>
      <xdr:row>0</xdr:row>
      <xdr:rowOff>180976</xdr:rowOff>
    </xdr:from>
    <xdr:to>
      <xdr:col>20</xdr:col>
      <xdr:colOff>419100</xdr:colOff>
      <xdr:row>5</xdr:row>
      <xdr:rowOff>123826</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82700" y="180976"/>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161925</xdr:colOff>
      <xdr:row>15</xdr:row>
      <xdr:rowOff>0</xdr:rowOff>
    </xdr:from>
    <xdr:to>
      <xdr:col>17</xdr:col>
      <xdr:colOff>161925</xdr:colOff>
      <xdr:row>28</xdr:row>
      <xdr:rowOff>47625</xdr:rowOff>
    </xdr:to>
    <mc:AlternateContent xmlns:mc="http://schemas.openxmlformats.org/markup-compatibility/2006" xmlns:a14="http://schemas.microsoft.com/office/drawing/2010/main">
      <mc:Choice Requires="a14">
        <xdr:graphicFrame macro="">
          <xdr:nvGraphicFramePr>
            <xdr:cNvPr id="8"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896725" y="2857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408000</xdr:colOff>
      <xdr:row>4</xdr:row>
      <xdr:rowOff>73200</xdr:rowOff>
    </xdr:to>
    <xdr:sp macro="" textlink="">
      <xdr:nvSpPr>
        <xdr:cNvPr id="2" name="Rounded Rectangle 1"/>
        <xdr:cNvSpPr/>
      </xdr:nvSpPr>
      <xdr:spPr>
        <a:xfrm>
          <a:off x="0" y="0"/>
          <a:ext cx="1260000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cap="none" spc="0">
              <a:ln w="0"/>
              <a:solidFill>
                <a:schemeClr val="tx1"/>
              </a:solidFill>
              <a:effectLst>
                <a:outerShdw blurRad="38100" dist="19050" dir="2700000" algn="tl" rotWithShape="0">
                  <a:schemeClr val="dk1">
                    <a:alpha val="40000"/>
                  </a:schemeClr>
                </a:outerShdw>
              </a:effectLst>
              <a:latin typeface="Algerian" panose="04020705040A02060702" pitchFamily="82" charset="0"/>
            </a:rPr>
            <a:t>Sales Dashboard</a:t>
          </a:r>
        </a:p>
      </xdr:txBody>
    </xdr:sp>
    <xdr:clientData/>
  </xdr:twoCellAnchor>
  <xdr:twoCellAnchor>
    <xdr:from>
      <xdr:col>0</xdr:col>
      <xdr:colOff>0</xdr:colOff>
      <xdr:row>4</xdr:row>
      <xdr:rowOff>161926</xdr:rowOff>
    </xdr:from>
    <xdr:to>
      <xdr:col>3</xdr:col>
      <xdr:colOff>457200</xdr:colOff>
      <xdr:row>8</xdr:row>
      <xdr:rowOff>152400</xdr:rowOff>
    </xdr:to>
    <xdr:grpSp>
      <xdr:nvGrpSpPr>
        <xdr:cNvPr id="7" name="Group 6"/>
        <xdr:cNvGrpSpPr/>
      </xdr:nvGrpSpPr>
      <xdr:grpSpPr>
        <a:xfrm>
          <a:off x="0" y="942287"/>
          <a:ext cx="2281869" cy="770836"/>
          <a:chOff x="0" y="904876"/>
          <a:chExt cx="2286000" cy="752474"/>
        </a:xfrm>
      </xdr:grpSpPr>
      <xdr:sp macro="" textlink="">
        <xdr:nvSpPr>
          <xdr:cNvPr id="3" name="Rounded Rectangle 2"/>
          <xdr:cNvSpPr/>
        </xdr:nvSpPr>
        <xdr:spPr>
          <a:xfrm>
            <a:off x="0" y="914400"/>
            <a:ext cx="2286000" cy="7429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ounded Rectangle 3"/>
          <xdr:cNvSpPr/>
        </xdr:nvSpPr>
        <xdr:spPr>
          <a:xfrm>
            <a:off x="0" y="904876"/>
            <a:ext cx="638175" cy="723900"/>
          </a:xfrm>
          <a:prstGeom prst="roundRect">
            <a:avLst>
              <a:gd name="adj" fmla="val 15448"/>
            </a:avLst>
          </a:prstGeom>
          <a:ln/>
          <a:effectLst>
            <a:outerShdw blurRad="50800" dist="38100" dir="2700000" algn="tl" rotWithShape="0">
              <a:prstClr val="black">
                <a:alpha val="4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sp macro="" textlink="">
        <xdr:nvSpPr>
          <xdr:cNvPr id="5" name="TextBox 4"/>
          <xdr:cNvSpPr txBox="1"/>
        </xdr:nvSpPr>
        <xdr:spPr>
          <a:xfrm>
            <a:off x="714375" y="914399"/>
            <a:ext cx="13049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Sales</a:t>
            </a:r>
          </a:p>
        </xdr:txBody>
      </xdr:sp>
      <xdr:sp macro="" textlink="'Sales Data'!K2">
        <xdr:nvSpPr>
          <xdr:cNvPr id="6" name="TextBox 5"/>
          <xdr:cNvSpPr txBox="1"/>
        </xdr:nvSpPr>
        <xdr:spPr>
          <a:xfrm>
            <a:off x="628650" y="1181100"/>
            <a:ext cx="13906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A5918AD-B2D6-487B-ABC4-EA3B5AC22283}" type="TxLink">
              <a:rPr lang="en-US" sz="1600" b="1" i="0" u="none" strike="noStrike">
                <a:solidFill>
                  <a:srgbClr val="000000"/>
                </a:solidFill>
                <a:latin typeface="Arial"/>
                <a:cs typeface="Arial"/>
              </a:rPr>
              <a:pPr algn="l"/>
              <a:t> 12,944,500 </a:t>
            </a:fld>
            <a:endParaRPr lang="en-US" sz="2800" b="1"/>
          </a:p>
        </xdr:txBody>
      </xdr:sp>
    </xdr:grpSp>
    <xdr:clientData/>
  </xdr:twoCellAnchor>
  <xdr:twoCellAnchor>
    <xdr:from>
      <xdr:col>4</xdr:col>
      <xdr:colOff>9525</xdr:colOff>
      <xdr:row>4</xdr:row>
      <xdr:rowOff>171451</xdr:rowOff>
    </xdr:from>
    <xdr:to>
      <xdr:col>7</xdr:col>
      <xdr:colOff>466725</xdr:colOff>
      <xdr:row>8</xdr:row>
      <xdr:rowOff>161925</xdr:rowOff>
    </xdr:to>
    <xdr:grpSp>
      <xdr:nvGrpSpPr>
        <xdr:cNvPr id="8" name="Group 7"/>
        <xdr:cNvGrpSpPr/>
      </xdr:nvGrpSpPr>
      <xdr:grpSpPr>
        <a:xfrm>
          <a:off x="2442417" y="951812"/>
          <a:ext cx="2281868" cy="770836"/>
          <a:chOff x="0" y="904876"/>
          <a:chExt cx="2286000" cy="752474"/>
        </a:xfrm>
      </xdr:grpSpPr>
      <xdr:sp macro="" textlink="">
        <xdr:nvSpPr>
          <xdr:cNvPr id="9" name="Rounded Rectangle 8"/>
          <xdr:cNvSpPr/>
        </xdr:nvSpPr>
        <xdr:spPr>
          <a:xfrm>
            <a:off x="0" y="914400"/>
            <a:ext cx="2286000" cy="7429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ounded Rectangle 9"/>
          <xdr:cNvSpPr/>
        </xdr:nvSpPr>
        <xdr:spPr>
          <a:xfrm>
            <a:off x="0" y="904876"/>
            <a:ext cx="638175" cy="723900"/>
          </a:xfrm>
          <a:prstGeom prst="roundRect">
            <a:avLst>
              <a:gd name="adj" fmla="val 15448"/>
            </a:avLst>
          </a:prstGeom>
          <a:ln/>
          <a:effectLst>
            <a:outerShdw blurRad="50800" dist="38100" dir="2700000" algn="tl" rotWithShape="0">
              <a:prstClr val="black">
                <a:alpha val="4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sp macro="" textlink="">
        <xdr:nvSpPr>
          <xdr:cNvPr id="11" name="TextBox 10"/>
          <xdr:cNvSpPr txBox="1"/>
        </xdr:nvSpPr>
        <xdr:spPr>
          <a:xfrm>
            <a:off x="714375" y="914399"/>
            <a:ext cx="13049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Aveage Sales</a:t>
            </a:r>
          </a:p>
        </xdr:txBody>
      </xdr:sp>
      <xdr:sp macro="" textlink="'Sales Data'!N2">
        <xdr:nvSpPr>
          <xdr:cNvPr id="12" name="TextBox 11"/>
          <xdr:cNvSpPr txBox="1"/>
        </xdr:nvSpPr>
        <xdr:spPr>
          <a:xfrm>
            <a:off x="704850" y="1181100"/>
            <a:ext cx="13906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A4C514E-912F-4D87-88F8-70606F3EDFE2}" type="TxLink">
              <a:rPr lang="en-US" sz="1800" b="1" i="0" u="none" strike="noStrike">
                <a:solidFill>
                  <a:srgbClr val="000000"/>
                </a:solidFill>
                <a:latin typeface="Arial"/>
                <a:cs typeface="Arial"/>
              </a:rPr>
              <a:pPr algn="l"/>
              <a:t>258890</a:t>
            </a:fld>
            <a:endParaRPr lang="en-US" sz="3200" b="1"/>
          </a:p>
        </xdr:txBody>
      </xdr:sp>
    </xdr:grpSp>
    <xdr:clientData/>
  </xdr:twoCellAnchor>
  <xdr:twoCellAnchor>
    <xdr:from>
      <xdr:col>8</xdr:col>
      <xdr:colOff>0</xdr:colOff>
      <xdr:row>4</xdr:row>
      <xdr:rowOff>180976</xdr:rowOff>
    </xdr:from>
    <xdr:to>
      <xdr:col>11</xdr:col>
      <xdr:colOff>457200</xdr:colOff>
      <xdr:row>8</xdr:row>
      <xdr:rowOff>171450</xdr:rowOff>
    </xdr:to>
    <xdr:grpSp>
      <xdr:nvGrpSpPr>
        <xdr:cNvPr id="13" name="Group 12"/>
        <xdr:cNvGrpSpPr/>
      </xdr:nvGrpSpPr>
      <xdr:grpSpPr>
        <a:xfrm>
          <a:off x="4865783" y="961337"/>
          <a:ext cx="2281869" cy="770836"/>
          <a:chOff x="0" y="904876"/>
          <a:chExt cx="2286000" cy="752474"/>
        </a:xfrm>
      </xdr:grpSpPr>
      <xdr:sp macro="" textlink="">
        <xdr:nvSpPr>
          <xdr:cNvPr id="14" name="Rounded Rectangle 13"/>
          <xdr:cNvSpPr/>
        </xdr:nvSpPr>
        <xdr:spPr>
          <a:xfrm>
            <a:off x="0" y="914400"/>
            <a:ext cx="2286000" cy="7429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ounded Rectangle 14"/>
          <xdr:cNvSpPr/>
        </xdr:nvSpPr>
        <xdr:spPr>
          <a:xfrm>
            <a:off x="0" y="904876"/>
            <a:ext cx="638175" cy="723900"/>
          </a:xfrm>
          <a:prstGeom prst="roundRect">
            <a:avLst>
              <a:gd name="adj" fmla="val 15448"/>
            </a:avLst>
          </a:prstGeom>
          <a:ln/>
          <a:effectLst>
            <a:outerShdw blurRad="50800" dist="38100" dir="2700000" algn="tl" rotWithShape="0">
              <a:prstClr val="black">
                <a:alpha val="4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sp macro="" textlink="">
        <xdr:nvSpPr>
          <xdr:cNvPr id="16" name="TextBox 15"/>
          <xdr:cNvSpPr txBox="1"/>
        </xdr:nvSpPr>
        <xdr:spPr>
          <a:xfrm>
            <a:off x="714375" y="914399"/>
            <a:ext cx="13049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Unit</a:t>
            </a:r>
            <a:r>
              <a:rPr lang="en-US" sz="1400" b="1" baseline="0"/>
              <a:t> Sold</a:t>
            </a:r>
            <a:endParaRPr lang="en-US" sz="1400" b="1"/>
          </a:p>
        </xdr:txBody>
      </xdr:sp>
      <xdr:sp macro="" textlink="'Sales Data'!L2">
        <xdr:nvSpPr>
          <xdr:cNvPr id="17" name="TextBox 16"/>
          <xdr:cNvSpPr txBox="1"/>
        </xdr:nvSpPr>
        <xdr:spPr>
          <a:xfrm>
            <a:off x="704850" y="1181100"/>
            <a:ext cx="13906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8F98E68-E562-41EF-9706-4C3FE2161075}" type="TxLink">
              <a:rPr lang="en-US" sz="1800" b="1" i="0" u="none" strike="noStrike">
                <a:solidFill>
                  <a:srgbClr val="000000"/>
                </a:solidFill>
                <a:latin typeface="Arial"/>
                <a:cs typeface="Arial"/>
              </a:rPr>
              <a:pPr algn="l"/>
              <a:t>4705</a:t>
            </a:fld>
            <a:endParaRPr lang="en-US" sz="3200" b="1"/>
          </a:p>
        </xdr:txBody>
      </xdr:sp>
    </xdr:grpSp>
    <xdr:clientData/>
  </xdr:twoCellAnchor>
  <xdr:twoCellAnchor>
    <xdr:from>
      <xdr:col>12</xdr:col>
      <xdr:colOff>9525</xdr:colOff>
      <xdr:row>4</xdr:row>
      <xdr:rowOff>180976</xdr:rowOff>
    </xdr:from>
    <xdr:to>
      <xdr:col>15</xdr:col>
      <xdr:colOff>466725</xdr:colOff>
      <xdr:row>8</xdr:row>
      <xdr:rowOff>171450</xdr:rowOff>
    </xdr:to>
    <xdr:grpSp>
      <xdr:nvGrpSpPr>
        <xdr:cNvPr id="18" name="Group 17"/>
        <xdr:cNvGrpSpPr/>
      </xdr:nvGrpSpPr>
      <xdr:grpSpPr>
        <a:xfrm>
          <a:off x="7308200" y="961337"/>
          <a:ext cx="2281868" cy="770836"/>
          <a:chOff x="0" y="904876"/>
          <a:chExt cx="2286000" cy="752474"/>
        </a:xfrm>
      </xdr:grpSpPr>
      <xdr:sp macro="" textlink="">
        <xdr:nvSpPr>
          <xdr:cNvPr id="19" name="Rounded Rectangle 18"/>
          <xdr:cNvSpPr/>
        </xdr:nvSpPr>
        <xdr:spPr>
          <a:xfrm>
            <a:off x="0" y="914400"/>
            <a:ext cx="2286000" cy="7429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ounded Rectangle 19"/>
          <xdr:cNvSpPr/>
        </xdr:nvSpPr>
        <xdr:spPr>
          <a:xfrm>
            <a:off x="0" y="904876"/>
            <a:ext cx="638175" cy="723900"/>
          </a:xfrm>
          <a:prstGeom prst="roundRect">
            <a:avLst>
              <a:gd name="adj" fmla="val 15448"/>
            </a:avLst>
          </a:prstGeom>
          <a:ln/>
          <a:effectLst>
            <a:outerShdw blurRad="50800" dist="38100" dir="2700000" algn="tl" rotWithShape="0">
              <a:prstClr val="black">
                <a:alpha val="4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sp macro="" textlink="">
        <xdr:nvSpPr>
          <xdr:cNvPr id="21" name="TextBox 20"/>
          <xdr:cNvSpPr txBox="1"/>
        </xdr:nvSpPr>
        <xdr:spPr>
          <a:xfrm>
            <a:off x="714375" y="914399"/>
            <a:ext cx="13049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a:t>
            </a:r>
          </a:p>
        </xdr:txBody>
      </xdr:sp>
      <xdr:sp macro="" textlink="'Sales Data'!M2">
        <xdr:nvSpPr>
          <xdr:cNvPr id="22" name="TextBox 21"/>
          <xdr:cNvSpPr txBox="1"/>
        </xdr:nvSpPr>
        <xdr:spPr>
          <a:xfrm>
            <a:off x="704850" y="1181100"/>
            <a:ext cx="13906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8B0966E-206A-4933-B70F-A038029AA8A7}" type="TxLink">
              <a:rPr lang="en-US" sz="2000" b="1" i="0" u="none" strike="noStrike">
                <a:solidFill>
                  <a:srgbClr val="000000"/>
                </a:solidFill>
                <a:latin typeface="Arial"/>
                <a:cs typeface="Arial"/>
              </a:rPr>
              <a:pPr algn="l"/>
              <a:t>3834400</a:t>
            </a:fld>
            <a:endParaRPr lang="en-US" sz="5400" b="1"/>
          </a:p>
        </xdr:txBody>
      </xdr:sp>
    </xdr:grpSp>
    <xdr:clientData/>
  </xdr:twoCellAnchor>
  <xdr:twoCellAnchor editAs="oneCell">
    <xdr:from>
      <xdr:col>4</xdr:col>
      <xdr:colOff>161925</xdr:colOff>
      <xdr:row>5</xdr:row>
      <xdr:rowOff>152400</xdr:rowOff>
    </xdr:from>
    <xdr:to>
      <xdr:col>4</xdr:col>
      <xdr:colOff>521925</xdr:colOff>
      <xdr:row>7</xdr:row>
      <xdr:rowOff>131400</xdr:rowOff>
    </xdr:to>
    <xdr:pic>
      <xdr:nvPicPr>
        <xdr:cNvPr id="23" name="Picture 2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00325" y="1104900"/>
          <a:ext cx="360000" cy="360000"/>
        </a:xfrm>
        <a:prstGeom prst="rect">
          <a:avLst/>
        </a:prstGeom>
        <a:ln>
          <a:noFill/>
        </a:ln>
      </xdr:spPr>
    </xdr:pic>
    <xdr:clientData/>
  </xdr:twoCellAnchor>
  <xdr:twoCellAnchor editAs="oneCell">
    <xdr:from>
      <xdr:col>8</xdr:col>
      <xdr:colOff>142875</xdr:colOff>
      <xdr:row>5</xdr:row>
      <xdr:rowOff>180975</xdr:rowOff>
    </xdr:from>
    <xdr:to>
      <xdr:col>8</xdr:col>
      <xdr:colOff>502875</xdr:colOff>
      <xdr:row>7</xdr:row>
      <xdr:rowOff>159975</xdr:rowOff>
    </xdr:to>
    <xdr:pic>
      <xdr:nvPicPr>
        <xdr:cNvPr id="24" name="Picture 2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19675" y="1133475"/>
          <a:ext cx="360000" cy="360000"/>
        </a:xfrm>
        <a:prstGeom prst="rect">
          <a:avLst/>
        </a:prstGeom>
      </xdr:spPr>
    </xdr:pic>
    <xdr:clientData/>
  </xdr:twoCellAnchor>
  <xdr:twoCellAnchor editAs="oneCell">
    <xdr:from>
      <xdr:col>0</xdr:col>
      <xdr:colOff>190500</xdr:colOff>
      <xdr:row>6</xdr:row>
      <xdr:rowOff>9525</xdr:rowOff>
    </xdr:from>
    <xdr:to>
      <xdr:col>0</xdr:col>
      <xdr:colOff>483630</xdr:colOff>
      <xdr:row>7</xdr:row>
      <xdr:rowOff>133350</xdr:rowOff>
    </xdr:to>
    <xdr:pic>
      <xdr:nvPicPr>
        <xdr:cNvPr id="32" name="Picture 31"/>
        <xdr:cNvPicPr>
          <a:picLocks noChangeAspect="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90500" y="1152525"/>
          <a:ext cx="293130" cy="314325"/>
        </a:xfrm>
        <a:prstGeom prst="rect">
          <a:avLst/>
        </a:prstGeom>
      </xdr:spPr>
    </xdr:pic>
    <xdr:clientData/>
  </xdr:twoCellAnchor>
  <xdr:twoCellAnchor editAs="oneCell">
    <xdr:from>
      <xdr:col>12</xdr:col>
      <xdr:colOff>133350</xdr:colOff>
      <xdr:row>6</xdr:row>
      <xdr:rowOff>0</xdr:rowOff>
    </xdr:from>
    <xdr:to>
      <xdr:col>12</xdr:col>
      <xdr:colOff>493350</xdr:colOff>
      <xdr:row>7</xdr:row>
      <xdr:rowOff>170730</xdr:rowOff>
    </xdr:to>
    <xdr:pic>
      <xdr:nvPicPr>
        <xdr:cNvPr id="33" name="Picture 32"/>
        <xdr:cNvPicPr>
          <a:picLocks noChangeAspect="1"/>
        </xdr:cNvPicPr>
      </xdr:nvPicPr>
      <xdr:blipFill>
        <a:blip xmlns:r="http://schemas.openxmlformats.org/officeDocument/2006/relationships" r:embed="rId4" cstate="print">
          <a:duotone>
            <a:prstClr val="black"/>
            <a:schemeClr val="tx1">
              <a:lumMod val="95000"/>
              <a:lumOff val="5000"/>
              <a:tint val="45000"/>
              <a:satMod val="400000"/>
            </a:schemeClr>
          </a:duotone>
          <a:extLst>
            <a:ext uri="{BEBA8EAE-BF5A-486C-A8C5-ECC9F3942E4B}">
              <a14:imgProps xmlns:a14="http://schemas.microsoft.com/office/drawing/2010/main">
                <a14:imgLayer r:embed="rId5">
                  <a14:imgEffect>
                    <a14:colorTemperature colorTemp="112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7448550" y="1143000"/>
          <a:ext cx="360000" cy="361230"/>
        </a:xfrm>
        <a:prstGeom prst="rect">
          <a:avLst/>
        </a:prstGeom>
      </xdr:spPr>
    </xdr:pic>
    <xdr:clientData/>
  </xdr:twoCellAnchor>
  <xdr:twoCellAnchor editAs="oneCell">
    <xdr:from>
      <xdr:col>16</xdr:col>
      <xdr:colOff>0</xdr:colOff>
      <xdr:row>5</xdr:row>
      <xdr:rowOff>19049</xdr:rowOff>
    </xdr:from>
    <xdr:to>
      <xdr:col>20</xdr:col>
      <xdr:colOff>266700</xdr:colOff>
      <xdr:row>8</xdr:row>
      <xdr:rowOff>161924</xdr:rowOff>
    </xdr:to>
    <mc:AlternateContent xmlns:mc="http://schemas.openxmlformats.org/markup-compatibility/2006" xmlns:a14="http://schemas.microsoft.com/office/drawing/2010/main">
      <mc:Choice Requires="a14">
        <xdr:graphicFrame macro="">
          <xdr:nvGraphicFramePr>
            <xdr:cNvPr id="34"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53600" y="971549"/>
              <a:ext cx="2705100"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152400</xdr:rowOff>
    </xdr:from>
    <xdr:to>
      <xdr:col>2</xdr:col>
      <xdr:colOff>19050</xdr:colOff>
      <xdr:row>36</xdr:row>
      <xdr:rowOff>152400</xdr:rowOff>
    </xdr:to>
    <mc:AlternateContent xmlns:mc="http://schemas.openxmlformats.org/markup-compatibility/2006" xmlns:a14="http://schemas.microsoft.com/office/drawing/2010/main">
      <mc:Choice Requires="a14">
        <xdr:graphicFrame macro="">
          <xdr:nvGraphicFramePr>
            <xdr:cNvPr id="35" name="Sales Person 1"/>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3962400"/>
              <a:ext cx="1238250" cy="304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19051</xdr:rowOff>
    </xdr:from>
    <xdr:to>
      <xdr:col>2</xdr:col>
      <xdr:colOff>19050</xdr:colOff>
      <xdr:row>20</xdr:row>
      <xdr:rowOff>161925</xdr:rowOff>
    </xdr:to>
    <mc:AlternateContent xmlns:mc="http://schemas.openxmlformats.org/markup-compatibility/2006" xmlns:a14="http://schemas.microsoft.com/office/drawing/2010/main">
      <mc:Choice Requires="a14">
        <xdr:graphicFrame macro="">
          <xdr:nvGraphicFramePr>
            <xdr:cNvPr id="36"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1733551"/>
              <a:ext cx="1238250" cy="2238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133350</xdr:colOff>
      <xdr:row>9</xdr:row>
      <xdr:rowOff>66675</xdr:rowOff>
    </xdr:from>
    <xdr:to>
      <xdr:col>11</xdr:col>
      <xdr:colOff>133350</xdr:colOff>
      <xdr:row>23</xdr:row>
      <xdr:rowOff>48846</xdr:rowOff>
    </xdr:to>
    <xdr:sp macro="" textlink="">
      <xdr:nvSpPr>
        <xdr:cNvPr id="38" name="Rounded Rectangle 37"/>
        <xdr:cNvSpPr/>
      </xdr:nvSpPr>
      <xdr:spPr>
        <a:xfrm>
          <a:off x="1354504" y="1825137"/>
          <a:ext cx="5495192" cy="271755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Unit</a:t>
          </a:r>
          <a:r>
            <a:rPr lang="en-US" sz="1100" b="1"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Sold by Product</a:t>
          </a:r>
          <a:endParaRPr lang="en-US" sz="11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clientData/>
  </xdr:twoCellAnchor>
  <xdr:twoCellAnchor>
    <xdr:from>
      <xdr:col>2</xdr:col>
      <xdr:colOff>247650</xdr:colOff>
      <xdr:row>11</xdr:row>
      <xdr:rowOff>66676</xdr:rowOff>
    </xdr:from>
    <xdr:to>
      <xdr:col>10</xdr:col>
      <xdr:colOff>133350</xdr:colOff>
      <xdr:row>22</xdr:row>
      <xdr:rowOff>85481</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274760</xdr:colOff>
      <xdr:row>9</xdr:row>
      <xdr:rowOff>186103</xdr:rowOff>
    </xdr:from>
    <xdr:to>
      <xdr:col>20</xdr:col>
      <xdr:colOff>274760</xdr:colOff>
      <xdr:row>21</xdr:row>
      <xdr:rowOff>170961</xdr:rowOff>
    </xdr:to>
    <xdr:sp macro="" textlink="">
      <xdr:nvSpPr>
        <xdr:cNvPr id="40" name="Rounded Rectangle 39"/>
        <xdr:cNvSpPr/>
      </xdr:nvSpPr>
      <xdr:spPr>
        <a:xfrm>
          <a:off x="6991106" y="1944565"/>
          <a:ext cx="5495192" cy="232947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a:t>
          </a:r>
          <a:r>
            <a:rPr lang="en-US" sz="1100" b="1"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Sales by Region</a:t>
          </a:r>
          <a:endParaRPr lang="en-US" sz="11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clientData/>
  </xdr:twoCellAnchor>
  <xdr:twoCellAnchor>
    <xdr:from>
      <xdr:col>2</xdr:col>
      <xdr:colOff>102088</xdr:colOff>
      <xdr:row>24</xdr:row>
      <xdr:rowOff>24424</xdr:rowOff>
    </xdr:from>
    <xdr:to>
      <xdr:col>11</xdr:col>
      <xdr:colOff>102088</xdr:colOff>
      <xdr:row>37</xdr:row>
      <xdr:rowOff>36634</xdr:rowOff>
    </xdr:to>
    <xdr:sp macro="" textlink="">
      <xdr:nvSpPr>
        <xdr:cNvPr id="42" name="Rounded Rectangle 41"/>
        <xdr:cNvSpPr/>
      </xdr:nvSpPr>
      <xdr:spPr>
        <a:xfrm>
          <a:off x="1323242" y="4713655"/>
          <a:ext cx="5495192" cy="255221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a:t>
          </a:r>
          <a:r>
            <a:rPr lang="en-US" sz="1100" b="1"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Sales by Product</a:t>
          </a:r>
          <a:endParaRPr lang="en-US" sz="11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clientData/>
  </xdr:twoCellAnchor>
  <xdr:twoCellAnchor>
    <xdr:from>
      <xdr:col>11</xdr:col>
      <xdr:colOff>229821</xdr:colOff>
      <xdr:row>22</xdr:row>
      <xdr:rowOff>146539</xdr:rowOff>
    </xdr:from>
    <xdr:to>
      <xdr:col>20</xdr:col>
      <xdr:colOff>229821</xdr:colOff>
      <xdr:row>37</xdr:row>
      <xdr:rowOff>59531</xdr:rowOff>
    </xdr:to>
    <xdr:sp macro="" textlink="">
      <xdr:nvSpPr>
        <xdr:cNvPr id="43" name="Rounded Rectangle 42"/>
        <xdr:cNvSpPr/>
      </xdr:nvSpPr>
      <xdr:spPr>
        <a:xfrm>
          <a:off x="6909227" y="4337539"/>
          <a:ext cx="5464969" cy="277049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a:t>
          </a:r>
          <a:r>
            <a:rPr lang="en-US" sz="1100" b="1"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sales by Sales Person</a:t>
          </a:r>
          <a:endParaRPr lang="en-US" sz="11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clientData/>
  </xdr:twoCellAnchor>
  <xdr:twoCellAnchor>
    <xdr:from>
      <xdr:col>12</xdr:col>
      <xdr:colOff>421054</xdr:colOff>
      <xdr:row>10</xdr:row>
      <xdr:rowOff>183662</xdr:rowOff>
    </xdr:from>
    <xdr:to>
      <xdr:col>18</xdr:col>
      <xdr:colOff>172427</xdr:colOff>
      <xdr:row>21</xdr:row>
      <xdr:rowOff>1</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488462</xdr:colOff>
      <xdr:row>25</xdr:row>
      <xdr:rowOff>162901</xdr:rowOff>
    </xdr:from>
    <xdr:to>
      <xdr:col>10</xdr:col>
      <xdr:colOff>269387</xdr:colOff>
      <xdr:row>37</xdr:row>
      <xdr:rowOff>73268</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4152</xdr:colOff>
      <xdr:row>24</xdr:row>
      <xdr:rowOff>146538</xdr:rowOff>
    </xdr:from>
    <xdr:to>
      <xdr:col>19</xdr:col>
      <xdr:colOff>308952</xdr:colOff>
      <xdr:row>36</xdr:row>
      <xdr:rowOff>178594</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22</xdr:col>
      <xdr:colOff>160662</xdr:colOff>
      <xdr:row>10</xdr:row>
      <xdr:rowOff>34427</xdr:rowOff>
    </xdr:from>
    <xdr:ext cx="184731" cy="269369"/>
    <xdr:sp macro="" textlink="">
      <xdr:nvSpPr>
        <xdr:cNvPr id="27" name="TextBox 26"/>
        <xdr:cNvSpPr txBox="1"/>
      </xdr:nvSpPr>
      <xdr:spPr>
        <a:xfrm>
          <a:off x="13541566" y="1985331"/>
          <a:ext cx="18473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200" b="1">
            <a:latin typeface="Arial" panose="020B0604020202020204" pitchFamily="34" charset="0"/>
            <a:cs typeface="Arial" panose="020B06040202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ELCOME" refreshedDate="45854.761831944445" createdVersion="5" refreshedVersion="5" minRefreshableVersion="3" recordCount="50">
  <cacheSource type="worksheet">
    <worksheetSource name="Table2"/>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0">
      <sharedItems/>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d v="2021-02-19T00:00:00"/>
    <x v="0"/>
    <x v="0"/>
    <x v="0"/>
    <n v="84"/>
    <s v="Rs. 6,000"/>
    <n v="4000"/>
    <n v="504000"/>
    <n v="168000"/>
  </r>
  <r>
    <d v="2021-09-07T00:00:00"/>
    <x v="1"/>
    <x v="1"/>
    <x v="1"/>
    <n v="128"/>
    <s v="Rs. 3,500"/>
    <n v="2500"/>
    <n v="448000"/>
    <n v="128000"/>
  </r>
  <r>
    <d v="2021-02-03T00:00:00"/>
    <x v="2"/>
    <x v="2"/>
    <x v="2"/>
    <n v="136"/>
    <s v="Rs. 1,200"/>
    <n v="800"/>
    <n v="163200"/>
    <n v="54400"/>
  </r>
  <r>
    <d v="2020-09-11T00:00:00"/>
    <x v="3"/>
    <x v="3"/>
    <x v="3"/>
    <n v="91"/>
    <s v="Rs. 1,000"/>
    <n v="700"/>
    <n v="91000"/>
    <n v="27300"/>
  </r>
  <r>
    <d v="2021-09-23T00:00:00"/>
    <x v="4"/>
    <x v="0"/>
    <x v="4"/>
    <n v="110"/>
    <s v="Rs. 4,000"/>
    <n v="3000"/>
    <n v="440000"/>
    <n v="110000"/>
  </r>
  <r>
    <d v="2020-10-01T00:00:00"/>
    <x v="5"/>
    <x v="1"/>
    <x v="2"/>
    <n v="51"/>
    <s v="Rs. 1,200"/>
    <n v="800"/>
    <n v="61200"/>
    <n v="20400"/>
  </r>
  <r>
    <d v="2021-08-05T00:00:00"/>
    <x v="6"/>
    <x v="3"/>
    <x v="3"/>
    <n v="78"/>
    <s v="Rs. 1,000"/>
    <n v="700"/>
    <n v="78000"/>
    <n v="23400"/>
  </r>
  <r>
    <d v="2020-11-06T00:00:00"/>
    <x v="7"/>
    <x v="2"/>
    <x v="0"/>
    <n v="146"/>
    <s v="Rs. 6,000"/>
    <n v="4000"/>
    <n v="876000"/>
    <n v="292000"/>
  </r>
  <r>
    <d v="2021-01-27T00:00:00"/>
    <x v="8"/>
    <x v="0"/>
    <x v="5"/>
    <n v="101"/>
    <s v="Rs. 600"/>
    <n v="400"/>
    <n v="60600"/>
    <n v="20200"/>
  </r>
  <r>
    <d v="2021-09-03T00:00:00"/>
    <x v="9"/>
    <x v="2"/>
    <x v="0"/>
    <n v="52"/>
    <s v="Rs. 6,000"/>
    <n v="4000"/>
    <n v="312000"/>
    <n v="104000"/>
  </r>
  <r>
    <d v="2021-09-30T00:00:00"/>
    <x v="9"/>
    <x v="1"/>
    <x v="2"/>
    <n v="55"/>
    <s v="Rs. 1,200"/>
    <n v="800"/>
    <n v="66000"/>
    <n v="22000"/>
  </r>
  <r>
    <d v="2020-09-10T00:00:00"/>
    <x v="9"/>
    <x v="2"/>
    <x v="3"/>
    <n v="137"/>
    <s v="Rs. 1,000"/>
    <n v="700"/>
    <n v="137000"/>
    <n v="41100"/>
  </r>
  <r>
    <d v="2021-07-27T00:00:00"/>
    <x v="7"/>
    <x v="2"/>
    <x v="1"/>
    <n v="96"/>
    <s v="Rs. 3,500"/>
    <n v="2500"/>
    <n v="336000"/>
    <n v="96000"/>
  </r>
  <r>
    <d v="2020-10-09T00:00:00"/>
    <x v="8"/>
    <x v="1"/>
    <x v="4"/>
    <n v="52"/>
    <s v="Rs. 4,000"/>
    <n v="3000"/>
    <n v="208000"/>
    <n v="52000"/>
  </r>
  <r>
    <d v="2021-04-06T00:00:00"/>
    <x v="3"/>
    <x v="0"/>
    <x v="1"/>
    <n v="76"/>
    <s v="Rs. 3,500"/>
    <n v="2500"/>
    <n v="266000"/>
    <n v="76000"/>
  </r>
  <r>
    <d v="2021-06-15T00:00:00"/>
    <x v="1"/>
    <x v="3"/>
    <x v="4"/>
    <n v="145"/>
    <s v="Rs. 4,000"/>
    <n v="3000"/>
    <n v="580000"/>
    <n v="145000"/>
  </r>
  <r>
    <d v="2020-09-09T00:00:00"/>
    <x v="0"/>
    <x v="2"/>
    <x v="5"/>
    <n v="83"/>
    <s v="Rs. 600"/>
    <n v="400"/>
    <n v="49800"/>
    <n v="16600"/>
  </r>
  <r>
    <d v="2021-08-13T00:00:00"/>
    <x v="4"/>
    <x v="2"/>
    <x v="3"/>
    <n v="91"/>
    <s v="Rs. 1,000"/>
    <n v="700"/>
    <n v="91000"/>
    <n v="27300"/>
  </r>
  <r>
    <d v="2020-08-27T00:00:00"/>
    <x v="5"/>
    <x v="0"/>
    <x v="6"/>
    <n v="108"/>
    <s v="Rs. 10,000"/>
    <n v="7000"/>
    <n v="1080000"/>
    <n v="324000"/>
  </r>
  <r>
    <d v="2021-04-07T00:00:00"/>
    <x v="2"/>
    <x v="3"/>
    <x v="4"/>
    <n v="144"/>
    <s v="Rs. 4,000"/>
    <n v="3000"/>
    <n v="576000"/>
    <n v="144000"/>
  </r>
  <r>
    <d v="2020-06-08T00:00:00"/>
    <x v="4"/>
    <x v="2"/>
    <x v="5"/>
    <n v="92"/>
    <s v="Rs. 600"/>
    <n v="400"/>
    <n v="55200"/>
    <n v="18400"/>
  </r>
  <r>
    <d v="2021-12-21T00:00:00"/>
    <x v="7"/>
    <x v="0"/>
    <x v="0"/>
    <n v="71"/>
    <s v="Rs. 6,000"/>
    <n v="4000"/>
    <n v="426000"/>
    <n v="142000"/>
  </r>
  <r>
    <d v="2021-08-10T00:00:00"/>
    <x v="0"/>
    <x v="1"/>
    <x v="5"/>
    <n v="103"/>
    <s v="Rs. 600"/>
    <n v="400"/>
    <n v="61800"/>
    <n v="20600"/>
  </r>
  <r>
    <d v="2021-12-02T00:00:00"/>
    <x v="9"/>
    <x v="3"/>
    <x v="3"/>
    <n v="55"/>
    <s v="Rs. 1,000"/>
    <n v="700"/>
    <n v="55000"/>
    <n v="16500"/>
  </r>
  <r>
    <d v="2021-08-30T00:00:00"/>
    <x v="5"/>
    <x v="1"/>
    <x v="4"/>
    <n v="93"/>
    <s v="Rs. 4,000"/>
    <n v="3000"/>
    <n v="372000"/>
    <n v="93000"/>
  </r>
  <r>
    <d v="2020-05-20T00:00:00"/>
    <x v="2"/>
    <x v="2"/>
    <x v="5"/>
    <n v="143"/>
    <s v="Rs. 600"/>
    <n v="400"/>
    <n v="85800"/>
    <n v="28600"/>
  </r>
  <r>
    <d v="2021-09-13T00:00:00"/>
    <x v="6"/>
    <x v="0"/>
    <x v="1"/>
    <n v="143"/>
    <s v="Rs. 3,500"/>
    <n v="2500"/>
    <n v="500500"/>
    <n v="143000"/>
  </r>
  <r>
    <d v="2021-10-27T00:00:00"/>
    <x v="8"/>
    <x v="3"/>
    <x v="5"/>
    <n v="99"/>
    <s v="Rs. 600"/>
    <n v="400"/>
    <n v="59400"/>
    <n v="19800"/>
  </r>
  <r>
    <d v="2020-12-22T00:00:00"/>
    <x v="3"/>
    <x v="0"/>
    <x v="3"/>
    <n v="120"/>
    <s v="Rs. 1,000"/>
    <n v="700"/>
    <n v="120000"/>
    <n v="36000"/>
  </r>
  <r>
    <d v="2021-07-28T00:00:00"/>
    <x v="1"/>
    <x v="2"/>
    <x v="1"/>
    <n v="66"/>
    <s v="Rs. 3,500"/>
    <n v="2500"/>
    <n v="231000"/>
    <n v="66000"/>
  </r>
  <r>
    <d v="2020-09-29T00:00:00"/>
    <x v="8"/>
    <x v="3"/>
    <x v="2"/>
    <n v="88"/>
    <s v="Rs. 1,200"/>
    <n v="800"/>
    <n v="105600"/>
    <n v="35200"/>
  </r>
  <r>
    <d v="2020-10-22T00:00:00"/>
    <x v="3"/>
    <x v="1"/>
    <x v="6"/>
    <n v="127"/>
    <s v="Rs. 10,000"/>
    <n v="7000"/>
    <n v="1270000"/>
    <n v="381000"/>
  </r>
  <r>
    <d v="2020-05-19T00:00:00"/>
    <x v="4"/>
    <x v="0"/>
    <x v="4"/>
    <n v="67"/>
    <s v="Rs. 4,000"/>
    <n v="3000"/>
    <n v="268000"/>
    <n v="67000"/>
  </r>
  <r>
    <d v="2021-12-06T00:00:00"/>
    <x v="1"/>
    <x v="1"/>
    <x v="2"/>
    <n v="67"/>
    <s v="Rs. 1,200"/>
    <n v="800"/>
    <n v="80400"/>
    <n v="26800"/>
  </r>
  <r>
    <d v="2020-08-26T00:00:00"/>
    <x v="9"/>
    <x v="2"/>
    <x v="3"/>
    <n v="149"/>
    <s v="Rs. 1,000"/>
    <n v="700"/>
    <n v="149000"/>
    <n v="44700"/>
  </r>
  <r>
    <d v="2021-07-01T00:00:00"/>
    <x v="4"/>
    <x v="3"/>
    <x v="5"/>
    <n v="104"/>
    <s v="Rs. 600"/>
    <n v="400"/>
    <n v="62400"/>
    <n v="20800"/>
  </r>
  <r>
    <d v="2021-07-27T00:00:00"/>
    <x v="7"/>
    <x v="0"/>
    <x v="5"/>
    <n v="57"/>
    <s v="Rs. 600"/>
    <n v="400"/>
    <n v="34200"/>
    <n v="11400"/>
  </r>
  <r>
    <d v="2020-10-05T00:00:00"/>
    <x v="2"/>
    <x v="1"/>
    <x v="5"/>
    <n v="90"/>
    <s v="Rs. 600"/>
    <n v="400"/>
    <n v="54000"/>
    <n v="18000"/>
  </r>
  <r>
    <d v="2020-09-02T00:00:00"/>
    <x v="5"/>
    <x v="2"/>
    <x v="5"/>
    <n v="67"/>
    <s v="Rs. 600"/>
    <n v="400"/>
    <n v="40200"/>
    <n v="13400"/>
  </r>
  <r>
    <d v="2021-09-02T00:00:00"/>
    <x v="0"/>
    <x v="3"/>
    <x v="4"/>
    <n v="127"/>
    <s v="Rs. 4,000"/>
    <n v="3000"/>
    <n v="508000"/>
    <n v="127000"/>
  </r>
  <r>
    <d v="2021-04-13T00:00:00"/>
    <x v="5"/>
    <x v="0"/>
    <x v="3"/>
    <n v="108"/>
    <s v="Rs. 1,000"/>
    <n v="700"/>
    <n v="108000"/>
    <n v="32400"/>
  </r>
  <r>
    <d v="2021-05-06T00:00:00"/>
    <x v="2"/>
    <x v="1"/>
    <x v="1"/>
    <n v="66"/>
    <s v="Rs. 3,500"/>
    <n v="2500"/>
    <n v="231000"/>
    <n v="66000"/>
  </r>
  <r>
    <d v="2021-01-15T00:00:00"/>
    <x v="0"/>
    <x v="3"/>
    <x v="0"/>
    <n v="78"/>
    <s v="Rs. 6,000"/>
    <n v="4000"/>
    <n v="468000"/>
    <n v="156000"/>
  </r>
  <r>
    <d v="2020-08-27T00:00:00"/>
    <x v="7"/>
    <x v="2"/>
    <x v="3"/>
    <n v="69"/>
    <s v="Rs. 1,000"/>
    <n v="700"/>
    <n v="69000"/>
    <n v="20700"/>
  </r>
  <r>
    <d v="2021-02-05T00:00:00"/>
    <x v="4"/>
    <x v="0"/>
    <x v="2"/>
    <n v="59"/>
    <s v="Rs. 1,200"/>
    <n v="800"/>
    <n v="70800"/>
    <n v="23600"/>
  </r>
  <r>
    <d v="2021-11-17T00:00:00"/>
    <x v="9"/>
    <x v="2"/>
    <x v="5"/>
    <n v="109"/>
    <s v="Rs. 600"/>
    <n v="400"/>
    <n v="65400"/>
    <n v="21800"/>
  </r>
  <r>
    <d v="2020-12-28T00:00:00"/>
    <x v="8"/>
    <x v="1"/>
    <x v="4"/>
    <n v="61"/>
    <s v="Rs. 4,000"/>
    <n v="3000"/>
    <n v="244000"/>
    <n v="61000"/>
  </r>
  <r>
    <d v="2021-10-27T00:00:00"/>
    <x v="4"/>
    <x v="3"/>
    <x v="5"/>
    <n v="130"/>
    <s v="Rs. 600"/>
    <n v="400"/>
    <n v="78000"/>
    <n v="26000"/>
  </r>
  <r>
    <d v="2021-11-02T00:00:00"/>
    <x v="3"/>
    <x v="2"/>
    <x v="1"/>
    <n v="60"/>
    <s v="Rs. 3,500"/>
    <n v="2500"/>
    <n v="210000"/>
    <n v="60000"/>
  </r>
  <r>
    <d v="2020-05-07T00:00:00"/>
    <x v="1"/>
    <x v="1"/>
    <x v="0"/>
    <n v="73"/>
    <s v="Rs. 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G3:H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2" numFmtId="165"/>
  </dataFields>
  <chartFormats count="3">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3:E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3" baseItem="1"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0" numFmtId="165"/>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J3:K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3" baseItem="0"/>
  </dataFields>
  <chartFormats count="17">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6"/>
          </reference>
        </references>
      </pivotArea>
    </chartFormat>
    <chartFormat chart="4" format="4">
      <pivotArea type="data" outline="0" fieldPosition="0">
        <references count="2">
          <reference field="4294967294" count="1" selected="0">
            <x v="0"/>
          </reference>
          <reference field="3" count="1" selected="0">
            <x v="5"/>
          </reference>
        </references>
      </pivotArea>
    </chartFormat>
    <chartFormat chart="4" format="5">
      <pivotArea type="data" outline="0" fieldPosition="0">
        <references count="2">
          <reference field="4294967294" count="1" selected="0">
            <x v="0"/>
          </reference>
          <reference field="3" count="1" selected="0">
            <x v="4"/>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2"/>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0"/>
          </reference>
        </references>
      </pivotArea>
    </chartFormat>
    <chartFormat chart="6" format="12">
      <pivotArea type="data" outline="0" fieldPosition="0">
        <references count="2">
          <reference field="4294967294" count="1" selected="0">
            <x v="0"/>
          </reference>
          <reference field="3" count="1" selected="0">
            <x v="1"/>
          </reference>
        </references>
      </pivotArea>
    </chartFormat>
    <chartFormat chart="6" format="13">
      <pivotArea type="data" outline="0" fieldPosition="0">
        <references count="2">
          <reference field="4294967294" count="1" selected="0">
            <x v="0"/>
          </reference>
          <reference field="3" count="1" selected="0">
            <x v="2"/>
          </reference>
        </references>
      </pivotArea>
    </chartFormat>
    <chartFormat chart="6" format="14">
      <pivotArea type="data" outline="0" fieldPosition="0">
        <references count="2">
          <reference field="4294967294" count="1" selected="0">
            <x v="0"/>
          </reference>
          <reference field="3" count="1" selected="0">
            <x v="3"/>
          </reference>
        </references>
      </pivotArea>
    </chartFormat>
    <chartFormat chart="6" format="15">
      <pivotArea type="data" outline="0" fieldPosition="0">
        <references count="2">
          <reference field="4294967294" count="1" selected="0">
            <x v="0"/>
          </reference>
          <reference field="3" count="1" selected="0">
            <x v="4"/>
          </reference>
        </references>
      </pivotArea>
    </chartFormat>
    <chartFormat chart="6" format="16">
      <pivotArea type="data" outline="0" fieldPosition="0">
        <references count="2">
          <reference field="4294967294" count="1" selected="0">
            <x v="0"/>
          </reference>
          <reference field="3" count="1" selected="0">
            <x v="5"/>
          </reference>
        </references>
      </pivotArea>
    </chartFormat>
    <chartFormat chart="6" format="1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pivotTables>
    <pivotTable tabId="2" name="PivotTable2"/>
    <pivotTable tabId="2" name="PivotTable1"/>
    <pivotTable tabId="2" name="PivotTable3"/>
    <pivotTable tabId="2" name="PivotTable4"/>
  </pivotTables>
  <data>
    <tabular pivotCacheId="1">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 tabId="2" name="PivotTable1"/>
    <pivotTable tabId="2" name="PivotTable3"/>
    <pivotTable tabId="2" name="PivotTable4"/>
  </pivotTables>
  <data>
    <tabular pivotCacheId="1">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PivotTable2"/>
    <pivotTable tabId="2" name="PivotTable1"/>
    <pivotTable tabId="2" name="PivotTable3"/>
    <pivotTable tabId="2" name="PivotTable4"/>
  </pivotTables>
  <data>
    <tabular pivotCacheId="1">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Person" cache="Slicer_Sales_Person" caption="Sales Person" rowHeight="241300"/>
  <slicer name="Region" cache="Slicer_Region" caption="Region" columnCount="2" rowHeight="241300"/>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ales Person 1" cache="Slicer_Sales_Person" caption="Sales Person" style="SlicerStyleDark6" rowHeight="241300"/>
  <slicer name="Region 1" cache="Slicer_Region" caption="Region" columnCount="2" showCaption="0" style="SlicerStyleDark6" rowHeight="241300"/>
  <slicer name="Product 1" cache="Slicer_Product" caption="Product" style="SlicerStyleDark6" rowHeight="241300"/>
</slicers>
</file>

<file path=xl/tables/table1.xml><?xml version="1.0" encoding="utf-8"?>
<table xmlns="http://schemas.openxmlformats.org/spreadsheetml/2006/main" id="2" name="Table2" displayName="Table2" ref="A1:I51" totalsRowShown="0" headerRowDxfId="12" headerRowBorderDxfId="11" tableBorderDxfId="10" totalsRowBorderDxfId="9" headerRowCellStyle="Percent">
  <autoFilter ref="A1:I51"/>
  <tableColumns count="9">
    <tableColumn id="1" name="Date" dataDxfId="8"/>
    <tableColumn id="2" name="Sales Person" dataDxfId="7"/>
    <tableColumn id="3" name="Region" dataDxfId="6"/>
    <tableColumn id="4" name="Product" dataDxfId="5"/>
    <tableColumn id="5" name="Units Sold" dataDxfId="4"/>
    <tableColumn id="6" name="Unit Price" dataDxfId="3"/>
    <tableColumn id="7" name="Cost of Goods" dataDxfId="2"/>
    <tableColumn id="8" name="Total Sales" dataDxfId="1" dataCellStyle="Percent"/>
    <tableColumn id="9" name="Profit" dataDxfId="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Views>
    <sheetView topLeftCell="C1" workbookViewId="0">
      <selection activeCell="M2" sqref="M2"/>
    </sheetView>
  </sheetViews>
  <sheetFormatPr defaultRowHeight="15" x14ac:dyDescent="0.25"/>
  <cols>
    <col min="1" max="1" width="14" customWidth="1"/>
    <col min="2" max="2" width="16.5703125" customWidth="1"/>
    <col min="3" max="3" width="13.42578125" customWidth="1"/>
    <col min="4" max="4" width="14.5703125" customWidth="1"/>
    <col min="5" max="5" width="17.140625" customWidth="1"/>
    <col min="6" max="6" width="17.5703125" style="1" customWidth="1"/>
    <col min="7" max="7" width="20" style="2" customWidth="1"/>
    <col min="8" max="8" width="16.85546875" style="3" customWidth="1"/>
    <col min="9" max="9" width="14.5703125" style="2" customWidth="1"/>
    <col min="10" max="10" width="6.42578125" customWidth="1"/>
    <col min="11" max="11" width="15.28515625" style="2" customWidth="1"/>
    <col min="12" max="12" width="11.7109375" style="2" customWidth="1"/>
    <col min="13" max="13" width="15" style="2" customWidth="1"/>
    <col min="14" max="14" width="16.140625" style="2" customWidth="1"/>
  </cols>
  <sheetData>
    <row r="1" spans="1:16" x14ac:dyDescent="0.25">
      <c r="A1" s="13" t="s">
        <v>0</v>
      </c>
      <c r="B1" s="14" t="s">
        <v>1</v>
      </c>
      <c r="C1" s="14" t="s">
        <v>2</v>
      </c>
      <c r="D1" s="14" t="s">
        <v>3</v>
      </c>
      <c r="E1" s="15" t="s">
        <v>4</v>
      </c>
      <c r="F1" s="16" t="s">
        <v>5</v>
      </c>
      <c r="G1" s="17" t="s">
        <v>6</v>
      </c>
      <c r="H1" s="18" t="s">
        <v>7</v>
      </c>
      <c r="I1" s="19" t="s">
        <v>36</v>
      </c>
      <c r="J1" s="5"/>
      <c r="K1" s="4" t="s">
        <v>37</v>
      </c>
      <c r="L1" s="4" t="s">
        <v>38</v>
      </c>
      <c r="M1" s="4" t="s">
        <v>39</v>
      </c>
      <c r="N1" s="4" t="s">
        <v>40</v>
      </c>
    </row>
    <row r="2" spans="1:16" x14ac:dyDescent="0.25">
      <c r="A2" s="11">
        <v>44246</v>
      </c>
      <c r="B2" s="6" t="s">
        <v>8</v>
      </c>
      <c r="C2" s="6" t="s">
        <v>9</v>
      </c>
      <c r="D2" s="6" t="s">
        <v>10</v>
      </c>
      <c r="E2" s="6">
        <v>84</v>
      </c>
      <c r="F2" s="7" t="s">
        <v>11</v>
      </c>
      <c r="G2" s="8">
        <v>4000</v>
      </c>
      <c r="H2" s="9">
        <v>504000</v>
      </c>
      <c r="I2" s="12">
        <f>H2-(G2*E2)</f>
        <v>168000</v>
      </c>
      <c r="J2" s="5"/>
      <c r="K2" s="31">
        <f>SUM(H2:H51)</f>
        <v>12944500</v>
      </c>
      <c r="L2" s="30">
        <f>SUM(E2:E51)</f>
        <v>4705</v>
      </c>
      <c r="M2" s="30">
        <f>SUM(I2:I51)</f>
        <v>3834400</v>
      </c>
      <c r="N2" s="30">
        <f>AVERAGE(H2:H51)</f>
        <v>258890</v>
      </c>
    </row>
    <row r="3" spans="1:16" x14ac:dyDescent="0.25">
      <c r="A3" s="11">
        <v>44446</v>
      </c>
      <c r="B3" s="6" t="s">
        <v>13</v>
      </c>
      <c r="C3" s="6" t="s">
        <v>14</v>
      </c>
      <c r="D3" s="6" t="s">
        <v>15</v>
      </c>
      <c r="E3" s="6">
        <v>128</v>
      </c>
      <c r="F3" s="7" t="s">
        <v>16</v>
      </c>
      <c r="G3" s="8">
        <v>2500</v>
      </c>
      <c r="H3" s="9">
        <v>448000</v>
      </c>
      <c r="I3" s="12">
        <f t="shared" ref="I3:I51" si="0">H3-(G3*E3)</f>
        <v>128000</v>
      </c>
      <c r="J3" s="5"/>
      <c r="K3" s="10"/>
      <c r="L3" s="10"/>
      <c r="M3" s="10"/>
      <c r="N3" s="10"/>
    </row>
    <row r="4" spans="1:16" x14ac:dyDescent="0.25">
      <c r="A4" s="11">
        <v>44230</v>
      </c>
      <c r="B4" s="6" t="s">
        <v>17</v>
      </c>
      <c r="C4" s="6" t="s">
        <v>18</v>
      </c>
      <c r="D4" s="6" t="s">
        <v>19</v>
      </c>
      <c r="E4" s="6">
        <v>136</v>
      </c>
      <c r="F4" s="7" t="s">
        <v>20</v>
      </c>
      <c r="G4" s="8">
        <v>800</v>
      </c>
      <c r="H4" s="9">
        <v>163200</v>
      </c>
      <c r="I4" s="12">
        <f t="shared" si="0"/>
        <v>54400</v>
      </c>
      <c r="J4" s="5"/>
      <c r="K4" s="10"/>
      <c r="L4" s="10"/>
      <c r="M4" s="10"/>
      <c r="N4" s="10"/>
    </row>
    <row r="5" spans="1:16" x14ac:dyDescent="0.25">
      <c r="A5" s="11">
        <v>44085</v>
      </c>
      <c r="B5" s="6" t="s">
        <v>21</v>
      </c>
      <c r="C5" s="6" t="s">
        <v>22</v>
      </c>
      <c r="D5" s="6" t="s">
        <v>23</v>
      </c>
      <c r="E5" s="6">
        <v>91</v>
      </c>
      <c r="F5" s="7" t="s">
        <v>24</v>
      </c>
      <c r="G5" s="8">
        <v>700</v>
      </c>
      <c r="H5" s="9">
        <v>91000</v>
      </c>
      <c r="I5" s="12">
        <f t="shared" si="0"/>
        <v>27300</v>
      </c>
      <c r="J5" s="5"/>
      <c r="K5" s="10"/>
      <c r="L5" s="10"/>
      <c r="M5" s="10"/>
      <c r="N5" s="10"/>
    </row>
    <row r="6" spans="1:16" x14ac:dyDescent="0.25">
      <c r="A6" s="11">
        <v>44462</v>
      </c>
      <c r="B6" s="6" t="s">
        <v>25</v>
      </c>
      <c r="C6" s="6" t="s">
        <v>9</v>
      </c>
      <c r="D6" s="6" t="s">
        <v>26</v>
      </c>
      <c r="E6" s="6">
        <v>110</v>
      </c>
      <c r="F6" s="7" t="s">
        <v>12</v>
      </c>
      <c r="G6" s="8">
        <v>3000</v>
      </c>
      <c r="H6" s="9">
        <v>440000</v>
      </c>
      <c r="I6" s="12">
        <f t="shared" si="0"/>
        <v>110000</v>
      </c>
      <c r="J6" s="5"/>
      <c r="K6" s="10"/>
      <c r="L6" s="10"/>
      <c r="M6" s="10"/>
      <c r="N6" s="10"/>
      <c r="P6" s="1"/>
    </row>
    <row r="7" spans="1:16" x14ac:dyDescent="0.25">
      <c r="A7" s="11">
        <v>44105</v>
      </c>
      <c r="B7" s="6" t="s">
        <v>27</v>
      </c>
      <c r="C7" s="6" t="s">
        <v>14</v>
      </c>
      <c r="D7" s="6" t="s">
        <v>19</v>
      </c>
      <c r="E7" s="6">
        <v>51</v>
      </c>
      <c r="F7" s="7" t="s">
        <v>20</v>
      </c>
      <c r="G7" s="8">
        <v>800</v>
      </c>
      <c r="H7" s="9">
        <v>61200</v>
      </c>
      <c r="I7" s="12">
        <f t="shared" si="0"/>
        <v>20400</v>
      </c>
      <c r="J7" s="5"/>
      <c r="K7" s="10"/>
      <c r="L7" s="10"/>
      <c r="M7" s="10"/>
      <c r="N7" s="10"/>
    </row>
    <row r="8" spans="1:16" x14ac:dyDescent="0.25">
      <c r="A8" s="11">
        <v>44413</v>
      </c>
      <c r="B8" s="6" t="s">
        <v>28</v>
      </c>
      <c r="C8" s="6" t="s">
        <v>22</v>
      </c>
      <c r="D8" s="6" t="s">
        <v>23</v>
      </c>
      <c r="E8" s="6">
        <v>78</v>
      </c>
      <c r="F8" s="7" t="s">
        <v>24</v>
      </c>
      <c r="G8" s="8">
        <v>700</v>
      </c>
      <c r="H8" s="9">
        <v>78000</v>
      </c>
      <c r="I8" s="12">
        <f t="shared" si="0"/>
        <v>23400</v>
      </c>
      <c r="J8" s="5"/>
      <c r="K8" s="10"/>
      <c r="L8" s="10"/>
      <c r="M8" s="10"/>
      <c r="N8" s="10"/>
    </row>
    <row r="9" spans="1:16" x14ac:dyDescent="0.25">
      <c r="A9" s="11">
        <v>44141</v>
      </c>
      <c r="B9" s="6" t="s">
        <v>29</v>
      </c>
      <c r="C9" s="6" t="s">
        <v>18</v>
      </c>
      <c r="D9" s="6" t="s">
        <v>10</v>
      </c>
      <c r="E9" s="6">
        <v>146</v>
      </c>
      <c r="F9" s="7" t="s">
        <v>11</v>
      </c>
      <c r="G9" s="8">
        <v>4000</v>
      </c>
      <c r="H9" s="9">
        <v>876000</v>
      </c>
      <c r="I9" s="12">
        <f t="shared" si="0"/>
        <v>292000</v>
      </c>
      <c r="J9" s="5"/>
      <c r="K9" s="10"/>
      <c r="L9" s="10"/>
      <c r="M9" s="10"/>
      <c r="N9" s="10"/>
    </row>
    <row r="10" spans="1:16" x14ac:dyDescent="0.25">
      <c r="A10" s="11">
        <v>44223</v>
      </c>
      <c r="B10" s="6" t="s">
        <v>30</v>
      </c>
      <c r="C10" s="6" t="s">
        <v>9</v>
      </c>
      <c r="D10" s="6" t="s">
        <v>31</v>
      </c>
      <c r="E10" s="6">
        <v>101</v>
      </c>
      <c r="F10" s="7" t="s">
        <v>32</v>
      </c>
      <c r="G10" s="8">
        <v>400</v>
      </c>
      <c r="H10" s="9">
        <v>60600</v>
      </c>
      <c r="I10" s="12">
        <f t="shared" si="0"/>
        <v>20200</v>
      </c>
      <c r="J10" s="5"/>
      <c r="K10" s="10"/>
      <c r="L10" s="10"/>
      <c r="M10" s="10"/>
      <c r="N10" s="10"/>
    </row>
    <row r="11" spans="1:16" x14ac:dyDescent="0.25">
      <c r="A11" s="11">
        <v>44442</v>
      </c>
      <c r="B11" s="6" t="s">
        <v>33</v>
      </c>
      <c r="C11" s="6" t="s">
        <v>18</v>
      </c>
      <c r="D11" s="6" t="s">
        <v>10</v>
      </c>
      <c r="E11" s="6">
        <v>52</v>
      </c>
      <c r="F11" s="7" t="s">
        <v>11</v>
      </c>
      <c r="G11" s="8">
        <v>4000</v>
      </c>
      <c r="H11" s="9">
        <v>312000</v>
      </c>
      <c r="I11" s="12">
        <f t="shared" si="0"/>
        <v>104000</v>
      </c>
      <c r="J11" s="5"/>
      <c r="K11" s="10"/>
      <c r="L11" s="10"/>
      <c r="M11" s="10"/>
      <c r="N11" s="10"/>
    </row>
    <row r="12" spans="1:16" x14ac:dyDescent="0.25">
      <c r="A12" s="11">
        <v>44469</v>
      </c>
      <c r="B12" s="6" t="s">
        <v>33</v>
      </c>
      <c r="C12" s="6" t="s">
        <v>14</v>
      </c>
      <c r="D12" s="6" t="s">
        <v>19</v>
      </c>
      <c r="E12" s="6">
        <v>55</v>
      </c>
      <c r="F12" s="7" t="s">
        <v>20</v>
      </c>
      <c r="G12" s="8">
        <v>800</v>
      </c>
      <c r="H12" s="9">
        <v>66000</v>
      </c>
      <c r="I12" s="12">
        <f t="shared" si="0"/>
        <v>22000</v>
      </c>
      <c r="J12" s="5"/>
      <c r="K12" s="10"/>
      <c r="L12" s="10"/>
      <c r="M12" s="10"/>
      <c r="N12" s="10"/>
    </row>
    <row r="13" spans="1:16" x14ac:dyDescent="0.25">
      <c r="A13" s="11">
        <v>44084</v>
      </c>
      <c r="B13" s="6" t="s">
        <v>33</v>
      </c>
      <c r="C13" s="6" t="s">
        <v>18</v>
      </c>
      <c r="D13" s="6" t="s">
        <v>23</v>
      </c>
      <c r="E13" s="6">
        <v>137</v>
      </c>
      <c r="F13" s="7" t="s">
        <v>24</v>
      </c>
      <c r="G13" s="8">
        <v>700</v>
      </c>
      <c r="H13" s="9">
        <v>137000</v>
      </c>
      <c r="I13" s="12">
        <f t="shared" si="0"/>
        <v>41100</v>
      </c>
      <c r="J13" s="5"/>
      <c r="K13" s="10"/>
      <c r="L13" s="10"/>
      <c r="M13" s="10"/>
      <c r="N13" s="10"/>
    </row>
    <row r="14" spans="1:16" x14ac:dyDescent="0.25">
      <c r="A14" s="11">
        <v>44404</v>
      </c>
      <c r="B14" s="6" t="s">
        <v>29</v>
      </c>
      <c r="C14" s="6" t="s">
        <v>18</v>
      </c>
      <c r="D14" s="6" t="s">
        <v>15</v>
      </c>
      <c r="E14" s="6">
        <v>96</v>
      </c>
      <c r="F14" s="7" t="s">
        <v>16</v>
      </c>
      <c r="G14" s="8">
        <v>2500</v>
      </c>
      <c r="H14" s="9">
        <v>336000</v>
      </c>
      <c r="I14" s="12">
        <f t="shared" si="0"/>
        <v>96000</v>
      </c>
      <c r="J14" s="10"/>
      <c r="K14" s="10"/>
      <c r="L14" s="10"/>
      <c r="M14" s="10"/>
      <c r="N14" s="10"/>
    </row>
    <row r="15" spans="1:16" x14ac:dyDescent="0.25">
      <c r="A15" s="11">
        <v>44113</v>
      </c>
      <c r="B15" s="6" t="s">
        <v>30</v>
      </c>
      <c r="C15" s="6" t="s">
        <v>14</v>
      </c>
      <c r="D15" s="6" t="s">
        <v>26</v>
      </c>
      <c r="E15" s="6">
        <v>52</v>
      </c>
      <c r="F15" s="7" t="s">
        <v>12</v>
      </c>
      <c r="G15" s="8">
        <v>3000</v>
      </c>
      <c r="H15" s="9">
        <v>208000</v>
      </c>
      <c r="I15" s="12">
        <f t="shared" si="0"/>
        <v>52000</v>
      </c>
      <c r="J15" s="5"/>
      <c r="K15" s="10"/>
      <c r="L15" s="10"/>
      <c r="M15" s="10"/>
      <c r="N15" s="10"/>
    </row>
    <row r="16" spans="1:16" x14ac:dyDescent="0.25">
      <c r="A16" s="11">
        <v>44292</v>
      </c>
      <c r="B16" s="6" t="s">
        <v>21</v>
      </c>
      <c r="C16" s="6" t="s">
        <v>9</v>
      </c>
      <c r="D16" s="6" t="s">
        <v>15</v>
      </c>
      <c r="E16" s="6">
        <v>76</v>
      </c>
      <c r="F16" s="7" t="s">
        <v>16</v>
      </c>
      <c r="G16" s="8">
        <v>2500</v>
      </c>
      <c r="H16" s="9">
        <v>266000</v>
      </c>
      <c r="I16" s="12">
        <f t="shared" si="0"/>
        <v>76000</v>
      </c>
      <c r="J16" s="5"/>
      <c r="K16" s="10"/>
      <c r="L16" s="10"/>
      <c r="M16" s="10"/>
      <c r="N16" s="10"/>
    </row>
    <row r="17" spans="1:14" x14ac:dyDescent="0.25">
      <c r="A17" s="11">
        <v>44362</v>
      </c>
      <c r="B17" s="6" t="s">
        <v>13</v>
      </c>
      <c r="C17" s="6" t="s">
        <v>22</v>
      </c>
      <c r="D17" s="6" t="s">
        <v>26</v>
      </c>
      <c r="E17" s="6">
        <v>145</v>
      </c>
      <c r="F17" s="7" t="s">
        <v>12</v>
      </c>
      <c r="G17" s="8">
        <v>3000</v>
      </c>
      <c r="H17" s="9">
        <v>580000</v>
      </c>
      <c r="I17" s="12">
        <f t="shared" si="0"/>
        <v>145000</v>
      </c>
      <c r="J17" s="5"/>
      <c r="K17" s="10"/>
      <c r="L17" s="10"/>
      <c r="M17" s="10"/>
      <c r="N17" s="10"/>
    </row>
    <row r="18" spans="1:14" x14ac:dyDescent="0.25">
      <c r="A18" s="11">
        <v>44083</v>
      </c>
      <c r="B18" s="6" t="s">
        <v>8</v>
      </c>
      <c r="C18" s="6" t="s">
        <v>18</v>
      </c>
      <c r="D18" s="6" t="s">
        <v>31</v>
      </c>
      <c r="E18" s="6">
        <v>83</v>
      </c>
      <c r="F18" s="7" t="s">
        <v>32</v>
      </c>
      <c r="G18" s="8">
        <v>400</v>
      </c>
      <c r="H18" s="9">
        <v>49800</v>
      </c>
      <c r="I18" s="12">
        <f t="shared" si="0"/>
        <v>16600</v>
      </c>
      <c r="J18" s="5"/>
      <c r="K18" s="10"/>
      <c r="L18" s="10"/>
      <c r="M18" s="10"/>
      <c r="N18" s="10"/>
    </row>
    <row r="19" spans="1:14" x14ac:dyDescent="0.25">
      <c r="A19" s="11">
        <v>44421</v>
      </c>
      <c r="B19" s="6" t="s">
        <v>25</v>
      </c>
      <c r="C19" s="6" t="s">
        <v>18</v>
      </c>
      <c r="D19" s="6" t="s">
        <v>23</v>
      </c>
      <c r="E19" s="6">
        <v>91</v>
      </c>
      <c r="F19" s="7" t="s">
        <v>24</v>
      </c>
      <c r="G19" s="8">
        <v>700</v>
      </c>
      <c r="H19" s="9">
        <v>91000</v>
      </c>
      <c r="I19" s="12">
        <f t="shared" si="0"/>
        <v>27300</v>
      </c>
      <c r="J19" s="5"/>
      <c r="K19" s="10"/>
      <c r="L19" s="10"/>
      <c r="M19" s="10"/>
      <c r="N19" s="10"/>
    </row>
    <row r="20" spans="1:14" x14ac:dyDescent="0.25">
      <c r="A20" s="11">
        <v>44070</v>
      </c>
      <c r="B20" s="6" t="s">
        <v>27</v>
      </c>
      <c r="C20" s="6" t="s">
        <v>9</v>
      </c>
      <c r="D20" s="6" t="s">
        <v>34</v>
      </c>
      <c r="E20" s="6">
        <v>108</v>
      </c>
      <c r="F20" s="7" t="s">
        <v>35</v>
      </c>
      <c r="G20" s="8">
        <v>7000</v>
      </c>
      <c r="H20" s="9">
        <v>1080000</v>
      </c>
      <c r="I20" s="12">
        <f t="shared" si="0"/>
        <v>324000</v>
      </c>
      <c r="J20" s="5"/>
      <c r="K20" s="10"/>
      <c r="L20" s="10"/>
      <c r="M20" s="10"/>
      <c r="N20" s="10"/>
    </row>
    <row r="21" spans="1:14" x14ac:dyDescent="0.25">
      <c r="A21" s="11">
        <v>44293</v>
      </c>
      <c r="B21" s="6" t="s">
        <v>17</v>
      </c>
      <c r="C21" s="6" t="s">
        <v>22</v>
      </c>
      <c r="D21" s="6" t="s">
        <v>26</v>
      </c>
      <c r="E21" s="6">
        <v>144</v>
      </c>
      <c r="F21" s="7" t="s">
        <v>12</v>
      </c>
      <c r="G21" s="8">
        <v>3000</v>
      </c>
      <c r="H21" s="9">
        <v>576000</v>
      </c>
      <c r="I21" s="12">
        <f t="shared" si="0"/>
        <v>144000</v>
      </c>
      <c r="J21" s="5"/>
      <c r="K21" s="10"/>
      <c r="L21" s="10"/>
      <c r="M21" s="10"/>
      <c r="N21" s="10"/>
    </row>
    <row r="22" spans="1:14" x14ac:dyDescent="0.25">
      <c r="A22" s="11">
        <v>43990</v>
      </c>
      <c r="B22" s="6" t="s">
        <v>25</v>
      </c>
      <c r="C22" s="6" t="s">
        <v>18</v>
      </c>
      <c r="D22" s="6" t="s">
        <v>31</v>
      </c>
      <c r="E22" s="6">
        <v>92</v>
      </c>
      <c r="F22" s="7" t="s">
        <v>32</v>
      </c>
      <c r="G22" s="8">
        <v>400</v>
      </c>
      <c r="H22" s="9">
        <v>55200</v>
      </c>
      <c r="I22" s="12">
        <f t="shared" si="0"/>
        <v>18400</v>
      </c>
      <c r="J22" s="5"/>
      <c r="K22" s="10"/>
      <c r="L22" s="10"/>
      <c r="M22" s="10"/>
      <c r="N22" s="10"/>
    </row>
    <row r="23" spans="1:14" x14ac:dyDescent="0.25">
      <c r="A23" s="11">
        <v>44551</v>
      </c>
      <c r="B23" s="6" t="s">
        <v>29</v>
      </c>
      <c r="C23" s="6" t="s">
        <v>9</v>
      </c>
      <c r="D23" s="6" t="s">
        <v>10</v>
      </c>
      <c r="E23" s="6">
        <v>71</v>
      </c>
      <c r="F23" s="7" t="s">
        <v>11</v>
      </c>
      <c r="G23" s="8">
        <v>4000</v>
      </c>
      <c r="H23" s="9">
        <v>426000</v>
      </c>
      <c r="I23" s="12">
        <f t="shared" si="0"/>
        <v>142000</v>
      </c>
      <c r="J23" s="5"/>
      <c r="K23" s="10"/>
      <c r="L23" s="10"/>
      <c r="M23" s="10"/>
      <c r="N23" s="10"/>
    </row>
    <row r="24" spans="1:14" x14ac:dyDescent="0.25">
      <c r="A24" s="11">
        <v>44418</v>
      </c>
      <c r="B24" s="6" t="s">
        <v>8</v>
      </c>
      <c r="C24" s="6" t="s">
        <v>14</v>
      </c>
      <c r="D24" s="6" t="s">
        <v>31</v>
      </c>
      <c r="E24" s="6">
        <v>103</v>
      </c>
      <c r="F24" s="7" t="s">
        <v>32</v>
      </c>
      <c r="G24" s="8">
        <v>400</v>
      </c>
      <c r="H24" s="9">
        <v>61800</v>
      </c>
      <c r="I24" s="12">
        <f t="shared" si="0"/>
        <v>20600</v>
      </c>
      <c r="J24" s="5"/>
      <c r="K24" s="10"/>
      <c r="L24" s="10"/>
      <c r="M24" s="10"/>
      <c r="N24" s="10"/>
    </row>
    <row r="25" spans="1:14" x14ac:dyDescent="0.25">
      <c r="A25" s="11">
        <v>44532</v>
      </c>
      <c r="B25" s="6" t="s">
        <v>33</v>
      </c>
      <c r="C25" s="6" t="s">
        <v>22</v>
      </c>
      <c r="D25" s="6" t="s">
        <v>23</v>
      </c>
      <c r="E25" s="6">
        <v>55</v>
      </c>
      <c r="F25" s="7" t="s">
        <v>24</v>
      </c>
      <c r="G25" s="8">
        <v>700</v>
      </c>
      <c r="H25" s="9">
        <v>55000</v>
      </c>
      <c r="I25" s="12">
        <f t="shared" si="0"/>
        <v>16500</v>
      </c>
      <c r="J25" s="5"/>
      <c r="K25" s="10"/>
      <c r="L25" s="10"/>
      <c r="M25" s="10"/>
      <c r="N25" s="10"/>
    </row>
    <row r="26" spans="1:14" x14ac:dyDescent="0.25">
      <c r="A26" s="11">
        <v>44438</v>
      </c>
      <c r="B26" s="6" t="s">
        <v>27</v>
      </c>
      <c r="C26" s="6" t="s">
        <v>14</v>
      </c>
      <c r="D26" s="6" t="s">
        <v>26</v>
      </c>
      <c r="E26" s="6">
        <v>93</v>
      </c>
      <c r="F26" s="7" t="s">
        <v>12</v>
      </c>
      <c r="G26" s="8">
        <v>3000</v>
      </c>
      <c r="H26" s="9">
        <v>372000</v>
      </c>
      <c r="I26" s="12">
        <f t="shared" si="0"/>
        <v>93000</v>
      </c>
      <c r="J26" s="5"/>
      <c r="K26" s="10"/>
      <c r="L26" s="10"/>
      <c r="M26" s="10"/>
      <c r="N26" s="10"/>
    </row>
    <row r="27" spans="1:14" x14ac:dyDescent="0.25">
      <c r="A27" s="11">
        <v>43971</v>
      </c>
      <c r="B27" s="6" t="s">
        <v>17</v>
      </c>
      <c r="C27" s="6" t="s">
        <v>18</v>
      </c>
      <c r="D27" s="6" t="s">
        <v>31</v>
      </c>
      <c r="E27" s="6">
        <v>143</v>
      </c>
      <c r="F27" s="7" t="s">
        <v>32</v>
      </c>
      <c r="G27" s="8">
        <v>400</v>
      </c>
      <c r="H27" s="9">
        <v>85800</v>
      </c>
      <c r="I27" s="12">
        <f t="shared" si="0"/>
        <v>28600</v>
      </c>
      <c r="J27" s="5"/>
      <c r="K27" s="10"/>
      <c r="L27" s="10"/>
      <c r="M27" s="10"/>
      <c r="N27" s="10"/>
    </row>
    <row r="28" spans="1:14" x14ac:dyDescent="0.25">
      <c r="A28" s="11">
        <v>44452</v>
      </c>
      <c r="B28" s="6" t="s">
        <v>28</v>
      </c>
      <c r="C28" s="6" t="s">
        <v>9</v>
      </c>
      <c r="D28" s="6" t="s">
        <v>15</v>
      </c>
      <c r="E28" s="6">
        <v>143</v>
      </c>
      <c r="F28" s="7" t="s">
        <v>16</v>
      </c>
      <c r="G28" s="8">
        <v>2500</v>
      </c>
      <c r="H28" s="9">
        <v>500500</v>
      </c>
      <c r="I28" s="12">
        <f t="shared" si="0"/>
        <v>143000</v>
      </c>
      <c r="J28" s="5"/>
      <c r="K28" s="10"/>
      <c r="L28" s="10"/>
      <c r="M28" s="10"/>
      <c r="N28" s="10"/>
    </row>
    <row r="29" spans="1:14" x14ac:dyDescent="0.25">
      <c r="A29" s="11">
        <v>44496</v>
      </c>
      <c r="B29" s="6" t="s">
        <v>30</v>
      </c>
      <c r="C29" s="6" t="s">
        <v>22</v>
      </c>
      <c r="D29" s="6" t="s">
        <v>31</v>
      </c>
      <c r="E29" s="6">
        <v>99</v>
      </c>
      <c r="F29" s="7" t="s">
        <v>32</v>
      </c>
      <c r="G29" s="8">
        <v>400</v>
      </c>
      <c r="H29" s="9">
        <v>59400</v>
      </c>
      <c r="I29" s="12">
        <f t="shared" si="0"/>
        <v>19800</v>
      </c>
      <c r="J29" s="5"/>
      <c r="K29" s="10"/>
      <c r="L29" s="10"/>
      <c r="M29" s="10"/>
      <c r="N29" s="10"/>
    </row>
    <row r="30" spans="1:14" x14ac:dyDescent="0.25">
      <c r="A30" s="11">
        <v>44187</v>
      </c>
      <c r="B30" s="6" t="s">
        <v>21</v>
      </c>
      <c r="C30" s="6" t="s">
        <v>9</v>
      </c>
      <c r="D30" s="6" t="s">
        <v>23</v>
      </c>
      <c r="E30" s="6">
        <v>120</v>
      </c>
      <c r="F30" s="7" t="s">
        <v>24</v>
      </c>
      <c r="G30" s="8">
        <v>700</v>
      </c>
      <c r="H30" s="9">
        <v>120000</v>
      </c>
      <c r="I30" s="12">
        <f t="shared" si="0"/>
        <v>36000</v>
      </c>
      <c r="J30" s="5"/>
      <c r="K30" s="10"/>
      <c r="L30" s="10"/>
      <c r="M30" s="10"/>
      <c r="N30" s="10"/>
    </row>
    <row r="31" spans="1:14" x14ac:dyDescent="0.25">
      <c r="A31" s="11">
        <v>44405</v>
      </c>
      <c r="B31" s="6" t="s">
        <v>13</v>
      </c>
      <c r="C31" s="6" t="s">
        <v>18</v>
      </c>
      <c r="D31" s="6" t="s">
        <v>15</v>
      </c>
      <c r="E31" s="6">
        <v>66</v>
      </c>
      <c r="F31" s="7" t="s">
        <v>16</v>
      </c>
      <c r="G31" s="8">
        <v>2500</v>
      </c>
      <c r="H31" s="9">
        <v>231000</v>
      </c>
      <c r="I31" s="12">
        <f t="shared" si="0"/>
        <v>66000</v>
      </c>
      <c r="J31" s="5"/>
      <c r="K31" s="10"/>
      <c r="L31" s="10"/>
      <c r="M31" s="10"/>
      <c r="N31" s="10"/>
    </row>
    <row r="32" spans="1:14" x14ac:dyDescent="0.25">
      <c r="A32" s="11">
        <v>44103</v>
      </c>
      <c r="B32" s="6" t="s">
        <v>30</v>
      </c>
      <c r="C32" s="6" t="s">
        <v>22</v>
      </c>
      <c r="D32" s="6" t="s">
        <v>19</v>
      </c>
      <c r="E32" s="6">
        <v>88</v>
      </c>
      <c r="F32" s="7" t="s">
        <v>20</v>
      </c>
      <c r="G32" s="8">
        <v>800</v>
      </c>
      <c r="H32" s="9">
        <v>105600</v>
      </c>
      <c r="I32" s="12">
        <f t="shared" si="0"/>
        <v>35200</v>
      </c>
      <c r="J32" s="5"/>
      <c r="K32" s="10"/>
      <c r="L32" s="10"/>
      <c r="M32" s="10"/>
      <c r="N32" s="10"/>
    </row>
    <row r="33" spans="1:14" x14ac:dyDescent="0.25">
      <c r="A33" s="11">
        <v>44126</v>
      </c>
      <c r="B33" s="6" t="s">
        <v>21</v>
      </c>
      <c r="C33" s="6" t="s">
        <v>14</v>
      </c>
      <c r="D33" s="6" t="s">
        <v>34</v>
      </c>
      <c r="E33" s="6">
        <v>127</v>
      </c>
      <c r="F33" s="7" t="s">
        <v>35</v>
      </c>
      <c r="G33" s="8">
        <v>7000</v>
      </c>
      <c r="H33" s="9">
        <v>1270000</v>
      </c>
      <c r="I33" s="12">
        <f t="shared" si="0"/>
        <v>381000</v>
      </c>
      <c r="J33" s="5"/>
      <c r="K33" s="10"/>
      <c r="L33" s="10"/>
      <c r="M33" s="10"/>
      <c r="N33" s="10"/>
    </row>
    <row r="34" spans="1:14" x14ac:dyDescent="0.25">
      <c r="A34" s="11">
        <v>43970</v>
      </c>
      <c r="B34" s="6" t="s">
        <v>25</v>
      </c>
      <c r="C34" s="6" t="s">
        <v>9</v>
      </c>
      <c r="D34" s="6" t="s">
        <v>26</v>
      </c>
      <c r="E34" s="6">
        <v>67</v>
      </c>
      <c r="F34" s="7" t="s">
        <v>12</v>
      </c>
      <c r="G34" s="8">
        <v>3000</v>
      </c>
      <c r="H34" s="9">
        <v>268000</v>
      </c>
      <c r="I34" s="12">
        <f t="shared" si="0"/>
        <v>67000</v>
      </c>
      <c r="J34" s="5"/>
      <c r="K34" s="10"/>
      <c r="L34" s="10"/>
      <c r="M34" s="10"/>
      <c r="N34" s="10"/>
    </row>
    <row r="35" spans="1:14" x14ac:dyDescent="0.25">
      <c r="A35" s="11">
        <v>44536</v>
      </c>
      <c r="B35" s="6" t="s">
        <v>13</v>
      </c>
      <c r="C35" s="6" t="s">
        <v>14</v>
      </c>
      <c r="D35" s="6" t="s">
        <v>19</v>
      </c>
      <c r="E35" s="6">
        <v>67</v>
      </c>
      <c r="F35" s="7" t="s">
        <v>20</v>
      </c>
      <c r="G35" s="8">
        <v>800</v>
      </c>
      <c r="H35" s="9">
        <v>80400</v>
      </c>
      <c r="I35" s="12">
        <f t="shared" si="0"/>
        <v>26800</v>
      </c>
      <c r="J35" s="5"/>
      <c r="K35" s="10"/>
      <c r="L35" s="10"/>
      <c r="M35" s="10"/>
      <c r="N35" s="10"/>
    </row>
    <row r="36" spans="1:14" x14ac:dyDescent="0.25">
      <c r="A36" s="11">
        <v>44069</v>
      </c>
      <c r="B36" s="6" t="s">
        <v>33</v>
      </c>
      <c r="C36" s="6" t="s">
        <v>18</v>
      </c>
      <c r="D36" s="6" t="s">
        <v>23</v>
      </c>
      <c r="E36" s="6">
        <v>149</v>
      </c>
      <c r="F36" s="7" t="s">
        <v>24</v>
      </c>
      <c r="G36" s="8">
        <v>700</v>
      </c>
      <c r="H36" s="9">
        <v>149000</v>
      </c>
      <c r="I36" s="12">
        <f t="shared" si="0"/>
        <v>44700</v>
      </c>
      <c r="J36" s="5"/>
      <c r="K36" s="10"/>
      <c r="L36" s="10"/>
      <c r="M36" s="10"/>
      <c r="N36" s="10"/>
    </row>
    <row r="37" spans="1:14" x14ac:dyDescent="0.25">
      <c r="A37" s="11">
        <v>44378</v>
      </c>
      <c r="B37" s="6" t="s">
        <v>25</v>
      </c>
      <c r="C37" s="6" t="s">
        <v>22</v>
      </c>
      <c r="D37" s="6" t="s">
        <v>31</v>
      </c>
      <c r="E37" s="6">
        <v>104</v>
      </c>
      <c r="F37" s="7" t="s">
        <v>32</v>
      </c>
      <c r="G37" s="8">
        <v>400</v>
      </c>
      <c r="H37" s="9">
        <v>62400</v>
      </c>
      <c r="I37" s="12">
        <f t="shared" si="0"/>
        <v>20800</v>
      </c>
      <c r="J37" s="5"/>
      <c r="K37" s="10"/>
      <c r="L37" s="10"/>
      <c r="M37" s="10"/>
      <c r="N37" s="10"/>
    </row>
    <row r="38" spans="1:14" x14ac:dyDescent="0.25">
      <c r="A38" s="11">
        <v>44404</v>
      </c>
      <c r="B38" s="6" t="s">
        <v>29</v>
      </c>
      <c r="C38" s="6" t="s">
        <v>9</v>
      </c>
      <c r="D38" s="6" t="s">
        <v>31</v>
      </c>
      <c r="E38" s="6">
        <v>57</v>
      </c>
      <c r="F38" s="7" t="s">
        <v>32</v>
      </c>
      <c r="G38" s="8">
        <v>400</v>
      </c>
      <c r="H38" s="9">
        <v>34200</v>
      </c>
      <c r="I38" s="12">
        <f t="shared" si="0"/>
        <v>11400</v>
      </c>
      <c r="J38" s="5"/>
      <c r="K38" s="10"/>
      <c r="L38" s="10"/>
      <c r="M38" s="10"/>
      <c r="N38" s="10"/>
    </row>
    <row r="39" spans="1:14" x14ac:dyDescent="0.25">
      <c r="A39" s="11">
        <v>44109</v>
      </c>
      <c r="B39" s="6" t="s">
        <v>17</v>
      </c>
      <c r="C39" s="6" t="s">
        <v>14</v>
      </c>
      <c r="D39" s="6" t="s">
        <v>31</v>
      </c>
      <c r="E39" s="6">
        <v>90</v>
      </c>
      <c r="F39" s="7" t="s">
        <v>32</v>
      </c>
      <c r="G39" s="8">
        <v>400</v>
      </c>
      <c r="H39" s="9">
        <v>54000</v>
      </c>
      <c r="I39" s="12">
        <f t="shared" si="0"/>
        <v>18000</v>
      </c>
      <c r="J39" s="5"/>
      <c r="K39" s="10"/>
      <c r="L39" s="10"/>
      <c r="M39" s="10"/>
      <c r="N39" s="10"/>
    </row>
    <row r="40" spans="1:14" x14ac:dyDescent="0.25">
      <c r="A40" s="11">
        <v>44076</v>
      </c>
      <c r="B40" s="6" t="s">
        <v>27</v>
      </c>
      <c r="C40" s="6" t="s">
        <v>18</v>
      </c>
      <c r="D40" s="6" t="s">
        <v>31</v>
      </c>
      <c r="E40" s="6">
        <v>67</v>
      </c>
      <c r="F40" s="7" t="s">
        <v>32</v>
      </c>
      <c r="G40" s="8">
        <v>400</v>
      </c>
      <c r="H40" s="9">
        <v>40200</v>
      </c>
      <c r="I40" s="12">
        <f t="shared" si="0"/>
        <v>13400</v>
      </c>
      <c r="J40" s="5"/>
      <c r="K40" s="10"/>
      <c r="L40" s="10"/>
      <c r="M40" s="10"/>
      <c r="N40" s="10"/>
    </row>
    <row r="41" spans="1:14" x14ac:dyDescent="0.25">
      <c r="A41" s="11">
        <v>44441</v>
      </c>
      <c r="B41" s="6" t="s">
        <v>8</v>
      </c>
      <c r="C41" s="6" t="s">
        <v>22</v>
      </c>
      <c r="D41" s="6" t="s">
        <v>26</v>
      </c>
      <c r="E41" s="6">
        <v>127</v>
      </c>
      <c r="F41" s="7" t="s">
        <v>12</v>
      </c>
      <c r="G41" s="8">
        <v>3000</v>
      </c>
      <c r="H41" s="9">
        <v>508000</v>
      </c>
      <c r="I41" s="12">
        <f t="shared" si="0"/>
        <v>127000</v>
      </c>
      <c r="J41" s="5"/>
      <c r="K41" s="10"/>
      <c r="L41" s="10"/>
      <c r="M41" s="10"/>
      <c r="N41" s="10"/>
    </row>
    <row r="42" spans="1:14" x14ac:dyDescent="0.25">
      <c r="A42" s="11">
        <v>44299</v>
      </c>
      <c r="B42" s="6" t="s">
        <v>27</v>
      </c>
      <c r="C42" s="6" t="s">
        <v>9</v>
      </c>
      <c r="D42" s="6" t="s">
        <v>23</v>
      </c>
      <c r="E42" s="6">
        <v>108</v>
      </c>
      <c r="F42" s="7" t="s">
        <v>24</v>
      </c>
      <c r="G42" s="8">
        <v>700</v>
      </c>
      <c r="H42" s="9">
        <v>108000</v>
      </c>
      <c r="I42" s="12">
        <f t="shared" si="0"/>
        <v>32400</v>
      </c>
      <c r="J42" s="5"/>
      <c r="K42" s="10"/>
      <c r="L42" s="10"/>
      <c r="M42" s="10"/>
      <c r="N42" s="10"/>
    </row>
    <row r="43" spans="1:14" x14ac:dyDescent="0.25">
      <c r="A43" s="11">
        <v>44322</v>
      </c>
      <c r="B43" s="6" t="s">
        <v>17</v>
      </c>
      <c r="C43" s="6" t="s">
        <v>14</v>
      </c>
      <c r="D43" s="6" t="s">
        <v>15</v>
      </c>
      <c r="E43" s="6">
        <v>66</v>
      </c>
      <c r="F43" s="7" t="s">
        <v>16</v>
      </c>
      <c r="G43" s="8">
        <v>2500</v>
      </c>
      <c r="H43" s="9">
        <v>231000</v>
      </c>
      <c r="I43" s="12">
        <f t="shared" si="0"/>
        <v>66000</v>
      </c>
      <c r="J43" s="5"/>
      <c r="K43" s="10"/>
      <c r="L43" s="10"/>
      <c r="M43" s="10"/>
      <c r="N43" s="10"/>
    </row>
    <row r="44" spans="1:14" x14ac:dyDescent="0.25">
      <c r="A44" s="11">
        <v>44211</v>
      </c>
      <c r="B44" s="6" t="s">
        <v>8</v>
      </c>
      <c r="C44" s="6" t="s">
        <v>22</v>
      </c>
      <c r="D44" s="6" t="s">
        <v>10</v>
      </c>
      <c r="E44" s="6">
        <v>78</v>
      </c>
      <c r="F44" s="7" t="s">
        <v>11</v>
      </c>
      <c r="G44" s="8">
        <v>4000</v>
      </c>
      <c r="H44" s="9">
        <v>468000</v>
      </c>
      <c r="I44" s="12">
        <f t="shared" si="0"/>
        <v>156000</v>
      </c>
      <c r="J44" s="5"/>
      <c r="K44" s="10"/>
      <c r="L44" s="10"/>
      <c r="M44" s="10"/>
      <c r="N44" s="10"/>
    </row>
    <row r="45" spans="1:14" x14ac:dyDescent="0.25">
      <c r="A45" s="11">
        <v>44070</v>
      </c>
      <c r="B45" s="6" t="s">
        <v>29</v>
      </c>
      <c r="C45" s="6" t="s">
        <v>18</v>
      </c>
      <c r="D45" s="6" t="s">
        <v>23</v>
      </c>
      <c r="E45" s="6">
        <v>69</v>
      </c>
      <c r="F45" s="7" t="s">
        <v>24</v>
      </c>
      <c r="G45" s="8">
        <v>700</v>
      </c>
      <c r="H45" s="9">
        <v>69000</v>
      </c>
      <c r="I45" s="12">
        <f t="shared" si="0"/>
        <v>20700</v>
      </c>
      <c r="J45" s="5"/>
      <c r="K45" s="10"/>
      <c r="L45" s="10"/>
      <c r="M45" s="10"/>
      <c r="N45" s="10"/>
    </row>
    <row r="46" spans="1:14" x14ac:dyDescent="0.25">
      <c r="A46" s="11">
        <v>44232</v>
      </c>
      <c r="B46" s="6" t="s">
        <v>25</v>
      </c>
      <c r="C46" s="6" t="s">
        <v>9</v>
      </c>
      <c r="D46" s="6" t="s">
        <v>19</v>
      </c>
      <c r="E46" s="6">
        <v>59</v>
      </c>
      <c r="F46" s="7" t="s">
        <v>20</v>
      </c>
      <c r="G46" s="8">
        <v>800</v>
      </c>
      <c r="H46" s="9">
        <v>70800</v>
      </c>
      <c r="I46" s="12">
        <f t="shared" si="0"/>
        <v>23600</v>
      </c>
      <c r="J46" s="5"/>
      <c r="K46" s="10"/>
      <c r="L46" s="10"/>
      <c r="M46" s="10"/>
      <c r="N46" s="10"/>
    </row>
    <row r="47" spans="1:14" x14ac:dyDescent="0.25">
      <c r="A47" s="11">
        <v>44517</v>
      </c>
      <c r="B47" s="6" t="s">
        <v>33</v>
      </c>
      <c r="C47" s="6" t="s">
        <v>18</v>
      </c>
      <c r="D47" s="6" t="s">
        <v>31</v>
      </c>
      <c r="E47" s="6">
        <v>109</v>
      </c>
      <c r="F47" s="7" t="s">
        <v>32</v>
      </c>
      <c r="G47" s="8">
        <v>400</v>
      </c>
      <c r="H47" s="9">
        <v>65400</v>
      </c>
      <c r="I47" s="12">
        <f t="shared" si="0"/>
        <v>21800</v>
      </c>
      <c r="J47" s="5"/>
      <c r="K47" s="10"/>
      <c r="L47" s="10"/>
      <c r="M47" s="10"/>
      <c r="N47" s="10"/>
    </row>
    <row r="48" spans="1:14" x14ac:dyDescent="0.25">
      <c r="A48" s="11">
        <v>44193</v>
      </c>
      <c r="B48" s="6" t="s">
        <v>30</v>
      </c>
      <c r="C48" s="6" t="s">
        <v>14</v>
      </c>
      <c r="D48" s="6" t="s">
        <v>26</v>
      </c>
      <c r="E48" s="6">
        <v>61</v>
      </c>
      <c r="F48" s="7" t="s">
        <v>12</v>
      </c>
      <c r="G48" s="8">
        <v>3000</v>
      </c>
      <c r="H48" s="9">
        <v>244000</v>
      </c>
      <c r="I48" s="12">
        <f t="shared" si="0"/>
        <v>61000</v>
      </c>
      <c r="J48" s="5"/>
      <c r="K48" s="10"/>
      <c r="L48" s="10"/>
      <c r="M48" s="10"/>
      <c r="N48" s="10"/>
    </row>
    <row r="49" spans="1:14" x14ac:dyDescent="0.25">
      <c r="A49" s="11">
        <v>44496</v>
      </c>
      <c r="B49" s="6" t="s">
        <v>25</v>
      </c>
      <c r="C49" s="6" t="s">
        <v>22</v>
      </c>
      <c r="D49" s="6" t="s">
        <v>31</v>
      </c>
      <c r="E49" s="6">
        <v>130</v>
      </c>
      <c r="F49" s="7" t="s">
        <v>32</v>
      </c>
      <c r="G49" s="8">
        <v>400</v>
      </c>
      <c r="H49" s="9">
        <v>78000</v>
      </c>
      <c r="I49" s="12">
        <f t="shared" si="0"/>
        <v>26000</v>
      </c>
      <c r="J49" s="5"/>
      <c r="K49" s="10"/>
      <c r="L49" s="10"/>
      <c r="M49" s="10"/>
      <c r="N49" s="10"/>
    </row>
    <row r="50" spans="1:14" x14ac:dyDescent="0.25">
      <c r="A50" s="11">
        <v>44502</v>
      </c>
      <c r="B50" s="6" t="s">
        <v>21</v>
      </c>
      <c r="C50" s="6" t="s">
        <v>18</v>
      </c>
      <c r="D50" s="6" t="s">
        <v>15</v>
      </c>
      <c r="E50" s="6">
        <v>60</v>
      </c>
      <c r="F50" s="7" t="s">
        <v>16</v>
      </c>
      <c r="G50" s="8">
        <v>2500</v>
      </c>
      <c r="H50" s="9">
        <v>210000</v>
      </c>
      <c r="I50" s="12">
        <f t="shared" si="0"/>
        <v>60000</v>
      </c>
      <c r="J50" s="5"/>
      <c r="K50" s="10"/>
      <c r="L50" s="10"/>
      <c r="M50" s="10"/>
      <c r="N50" s="10"/>
    </row>
    <row r="51" spans="1:14" x14ac:dyDescent="0.25">
      <c r="A51" s="20">
        <v>43958</v>
      </c>
      <c r="B51" s="21" t="s">
        <v>13</v>
      </c>
      <c r="C51" s="21" t="s">
        <v>14</v>
      </c>
      <c r="D51" s="21" t="s">
        <v>10</v>
      </c>
      <c r="E51" s="21">
        <v>73</v>
      </c>
      <c r="F51" s="22" t="s">
        <v>11</v>
      </c>
      <c r="G51" s="23">
        <v>4000</v>
      </c>
      <c r="H51" s="24">
        <v>438000</v>
      </c>
      <c r="I51" s="25">
        <f t="shared" si="0"/>
        <v>146000</v>
      </c>
      <c r="J51" s="5"/>
      <c r="K51" s="10"/>
      <c r="L51" s="10"/>
      <c r="M51" s="10"/>
      <c r="N51" s="10"/>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4"/>
  <sheetViews>
    <sheetView workbookViewId="0">
      <selection activeCell="I1" sqref="I1"/>
    </sheetView>
  </sheetViews>
  <sheetFormatPr defaultRowHeight="15" x14ac:dyDescent="0.25"/>
  <cols>
    <col min="1" max="1" width="13.140625" customWidth="1"/>
    <col min="2" max="2" width="17.28515625" customWidth="1"/>
    <col min="4" max="4" width="13.140625" customWidth="1"/>
    <col min="5" max="5" width="17.28515625" customWidth="1"/>
    <col min="7" max="7" width="13.140625" customWidth="1"/>
    <col min="8" max="8" width="17.28515625" customWidth="1"/>
    <col min="10" max="10" width="13.140625" customWidth="1"/>
    <col min="11" max="11" width="16.7109375" customWidth="1"/>
  </cols>
  <sheetData>
    <row r="3" spans="1:11" x14ac:dyDescent="0.25">
      <c r="A3" s="26" t="s">
        <v>41</v>
      </c>
      <c r="B3" t="s">
        <v>42</v>
      </c>
      <c r="D3" s="26" t="s">
        <v>41</v>
      </c>
      <c r="E3" t="s">
        <v>42</v>
      </c>
      <c r="G3" s="26" t="s">
        <v>41</v>
      </c>
      <c r="H3" t="s">
        <v>42</v>
      </c>
      <c r="J3" s="26" t="s">
        <v>41</v>
      </c>
      <c r="K3" t="s">
        <v>43</v>
      </c>
    </row>
    <row r="4" spans="1:11" x14ac:dyDescent="0.25">
      <c r="A4" s="27" t="s">
        <v>14</v>
      </c>
      <c r="B4" s="28">
        <v>3534400</v>
      </c>
      <c r="D4" s="27" t="s">
        <v>19</v>
      </c>
      <c r="E4" s="29">
        <v>547200</v>
      </c>
      <c r="G4" s="27" t="s">
        <v>8</v>
      </c>
      <c r="H4" s="28">
        <v>1591600</v>
      </c>
      <c r="J4" s="27" t="s">
        <v>19</v>
      </c>
      <c r="K4" s="1">
        <v>456</v>
      </c>
    </row>
    <row r="5" spans="1:11" x14ac:dyDescent="0.25">
      <c r="A5" s="27" t="s">
        <v>22</v>
      </c>
      <c r="B5" s="28">
        <v>2661400</v>
      </c>
      <c r="D5" s="27" t="s">
        <v>15</v>
      </c>
      <c r="E5" s="29">
        <v>2222500</v>
      </c>
      <c r="G5" s="27" t="s">
        <v>30</v>
      </c>
      <c r="H5" s="28">
        <v>677600</v>
      </c>
      <c r="J5" s="27" t="s">
        <v>15</v>
      </c>
      <c r="K5" s="1">
        <v>635</v>
      </c>
    </row>
    <row r="6" spans="1:11" x14ac:dyDescent="0.25">
      <c r="A6" s="27" t="s">
        <v>18</v>
      </c>
      <c r="B6" s="28">
        <v>2870600</v>
      </c>
      <c r="D6" s="27" t="s">
        <v>31</v>
      </c>
      <c r="E6" s="29">
        <v>706800</v>
      </c>
      <c r="G6" s="27" t="s">
        <v>21</v>
      </c>
      <c r="H6" s="28">
        <v>1957000</v>
      </c>
      <c r="J6" s="27" t="s">
        <v>31</v>
      </c>
      <c r="K6" s="1">
        <v>1178</v>
      </c>
    </row>
    <row r="7" spans="1:11" x14ac:dyDescent="0.25">
      <c r="A7" s="27" t="s">
        <v>9</v>
      </c>
      <c r="B7" s="28">
        <v>3878100</v>
      </c>
      <c r="D7" s="27" t="s">
        <v>23</v>
      </c>
      <c r="E7" s="29">
        <v>898000</v>
      </c>
      <c r="G7" s="27" t="s">
        <v>27</v>
      </c>
      <c r="H7" s="28">
        <v>1661400</v>
      </c>
      <c r="J7" s="27" t="s">
        <v>23</v>
      </c>
      <c r="K7" s="1">
        <v>898</v>
      </c>
    </row>
    <row r="8" spans="1:11" x14ac:dyDescent="0.25">
      <c r="A8" s="27" t="s">
        <v>37</v>
      </c>
      <c r="B8" s="28">
        <v>12944500</v>
      </c>
      <c r="D8" s="27" t="s">
        <v>34</v>
      </c>
      <c r="E8" s="29">
        <v>2350000</v>
      </c>
      <c r="G8" s="27" t="s">
        <v>29</v>
      </c>
      <c r="H8" s="28">
        <v>1741200</v>
      </c>
      <c r="J8" s="27" t="s">
        <v>34</v>
      </c>
      <c r="K8" s="1">
        <v>235</v>
      </c>
    </row>
    <row r="9" spans="1:11" x14ac:dyDescent="0.25">
      <c r="D9" s="27" t="s">
        <v>26</v>
      </c>
      <c r="E9" s="29">
        <v>3196000</v>
      </c>
      <c r="G9" s="27" t="s">
        <v>17</v>
      </c>
      <c r="H9" s="28">
        <v>1110000</v>
      </c>
      <c r="J9" s="27" t="s">
        <v>26</v>
      </c>
      <c r="K9" s="1">
        <v>799</v>
      </c>
    </row>
    <row r="10" spans="1:11" x14ac:dyDescent="0.25">
      <c r="D10" s="27" t="s">
        <v>10</v>
      </c>
      <c r="E10" s="29">
        <v>3024000</v>
      </c>
      <c r="G10" s="27" t="s">
        <v>13</v>
      </c>
      <c r="H10" s="28">
        <v>1777400</v>
      </c>
      <c r="J10" s="27" t="s">
        <v>10</v>
      </c>
      <c r="K10" s="1">
        <v>504</v>
      </c>
    </row>
    <row r="11" spans="1:11" x14ac:dyDescent="0.25">
      <c r="D11" s="27" t="s">
        <v>37</v>
      </c>
      <c r="E11" s="29">
        <v>12944500</v>
      </c>
      <c r="G11" s="27" t="s">
        <v>25</v>
      </c>
      <c r="H11" s="28">
        <v>1065400</v>
      </c>
      <c r="J11" s="27" t="s">
        <v>37</v>
      </c>
      <c r="K11" s="1">
        <v>4705</v>
      </c>
    </row>
    <row r="12" spans="1:11" x14ac:dyDescent="0.25">
      <c r="G12" s="27" t="s">
        <v>33</v>
      </c>
      <c r="H12" s="28">
        <v>784400</v>
      </c>
    </row>
    <row r="13" spans="1:11" x14ac:dyDescent="0.25">
      <c r="G13" s="27" t="s">
        <v>28</v>
      </c>
      <c r="H13" s="28">
        <v>578500</v>
      </c>
    </row>
    <row r="14" spans="1:11" x14ac:dyDescent="0.25">
      <c r="G14" s="27" t="s">
        <v>37</v>
      </c>
      <c r="H14" s="28">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topLeftCell="A2" zoomScale="83" zoomScaleNormal="83" workbookViewId="0">
      <selection activeCell="Y21" sqref="Y21"/>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WELCOME</cp:lastModifiedBy>
  <dcterms:created xsi:type="dcterms:W3CDTF">2025-07-16T12:03:42Z</dcterms:created>
  <dcterms:modified xsi:type="dcterms:W3CDTF">2026-07-08T16:16:54Z</dcterms:modified>
</cp:coreProperties>
</file>